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arhub Macro Project\"/>
    </mc:Choice>
  </mc:AlternateContent>
  <xr:revisionPtr revIDLastSave="0" documentId="13_ncr:1_{DFB48DF9-9B8F-4D3F-98EA-D44EBD497E97}" xr6:coauthVersionLast="47" xr6:coauthVersionMax="47" xr10:uidLastSave="{00000000-0000-0000-0000-000000000000}"/>
  <bookViews>
    <workbookView xWindow="-108" yWindow="-108" windowWidth="23256" windowHeight="12456" activeTab="1" xr2:uid="{0FD3AACC-0E76-409C-AE6A-7D76E4A356BA}"/>
  </bookViews>
  <sheets>
    <sheet name="Assessment Form" sheetId="1" r:id="rId1"/>
    <sheet name="Billing Milestone" sheetId="9" r:id="rId2"/>
    <sheet name="Sample blacklisted account" sheetId="3" state="hidden" r:id="rId3"/>
    <sheet name="Sheet2" sheetId="2" state="hidden" r:id="rId4"/>
  </sheets>
  <definedNames>
    <definedName name="File_Path">'Assessment Form'!$I$1</definedName>
    <definedName name="Filepath">#REF!</definedName>
    <definedName name="_xlnm.Print_Area" localSheetId="0">'Assessment Form'!$B$1:$D$87</definedName>
    <definedName name="_xlnm.Print_Area" localSheetId="1">'Billing Milestone'!$A$1:$E$4</definedName>
    <definedName name="SOAPath">'Assessment Form'!$I$2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65" i="9" l="1"/>
  <c r="D1064" i="9"/>
  <c r="D1063" i="9"/>
  <c r="D1062" i="9"/>
  <c r="D1061" i="9"/>
  <c r="D1060" i="9"/>
  <c r="D1059" i="9"/>
  <c r="D1058" i="9"/>
  <c r="D1057" i="9"/>
  <c r="D1056" i="9"/>
  <c r="D1055" i="9"/>
  <c r="D1054" i="9"/>
  <c r="C78" i="1"/>
  <c r="C76" i="1" l="1"/>
  <c r="C55" i="1" l="1"/>
  <c r="C70" i="1"/>
  <c r="C60" i="1"/>
  <c r="B63" i="1" a="1"/>
  <c r="B63" i="1" s="1"/>
  <c r="C32" i="1" l="1"/>
  <c r="C29" i="1"/>
  <c r="D10" i="1"/>
  <c r="D12" i="1"/>
  <c r="D11" i="1"/>
  <c r="F7" i="1" l="1"/>
  <c r="F6" i="1"/>
  <c r="F2" i="1" l="1"/>
  <c r="C33" i="1" s="1"/>
  <c r="C57" i="1"/>
  <c r="C34" i="1"/>
  <c r="F1" i="1" l="1"/>
  <c r="A60" i="2" a="1"/>
  <c r="A60" i="2" s="1"/>
  <c r="B14" i="1" a="1"/>
  <c r="B14" i="1" s="1"/>
  <c r="B25" i="1" l="1"/>
  <c r="C2" i="1"/>
  <c r="F4" i="1" s="1"/>
  <c r="F5" i="1" s="1"/>
  <c r="C31" i="1" s="1"/>
  <c r="C28" i="1" l="1"/>
  <c r="C30" i="1"/>
  <c r="B48" i="1" a="1"/>
  <c r="B48" i="1" s="1"/>
  <c r="F8" i="1" l="1"/>
  <c r="F9" i="1" s="1"/>
  <c r="C36" i="1" l="1"/>
  <c r="C37" i="1" s="1"/>
  <c r="C35" i="1"/>
  <c r="C38" i="1" l="1"/>
  <c r="C39" i="1" s="1"/>
  <c r="F10" i="1" l="1"/>
  <c r="C40" i="1" s="1"/>
  <c r="C41" i="1" s="1"/>
  <c r="C48" i="1"/>
  <c r="C56" i="1"/>
  <c r="C75" i="1"/>
  <c r="B51" i="1"/>
  <c r="B50" i="1"/>
  <c r="B49" i="1"/>
  <c r="B24" i="1"/>
  <c r="B23" i="1"/>
  <c r="B22" i="1"/>
  <c r="B21" i="1"/>
  <c r="B20" i="1"/>
  <c r="B19" i="1"/>
  <c r="B18" i="1"/>
  <c r="B17" i="1"/>
  <c r="B16" i="1"/>
  <c r="B15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<sst xmlns="http://schemas.openxmlformats.org/spreadsheetml/2006/main" count="227" uniqueCount="129">
  <si>
    <t>Credit Assessment</t>
  </si>
  <si>
    <t>Paid Up Capital Exposure</t>
  </si>
  <si>
    <t>CL</t>
  </si>
  <si>
    <t>Date:</t>
  </si>
  <si>
    <t>&lt;$100K</t>
  </si>
  <si>
    <t>Oppty No:</t>
  </si>
  <si>
    <t>&gt;=$100K &lt; $150K</t>
  </si>
  <si>
    <t>Prepared By:</t>
  </si>
  <si>
    <t>Harold QUEK He Re</t>
  </si>
  <si>
    <t>&gt;=$150K &lt; $300K</t>
  </si>
  <si>
    <t>&gt;=$300K &lt; $1M</t>
  </si>
  <si>
    <t>Pre-Qualifier</t>
  </si>
  <si>
    <t>&gt;=$1M &lt; $6M</t>
  </si>
  <si>
    <t>Existing SAP ID</t>
  </si>
  <si>
    <t>Yes</t>
  </si>
  <si>
    <t>&gt;= $6M</t>
  </si>
  <si>
    <t>COMPANY DETAILS (Information from Biz Check+ Biz Profile)</t>
  </si>
  <si>
    <t>Count</t>
  </si>
  <si>
    <t>Existing Active EBS Customer</t>
  </si>
  <si>
    <t>Existing Active BSCS Customer</t>
  </si>
  <si>
    <t>Others</t>
  </si>
  <si>
    <t>No</t>
  </si>
  <si>
    <t>Credit Exposure Assessment</t>
  </si>
  <si>
    <t xml:space="preserve">Length of Incorporation </t>
  </si>
  <si>
    <t xml:space="preserve">Entity Type </t>
  </si>
  <si>
    <t>AGM Compliance</t>
  </si>
  <si>
    <t>AR Compliance</t>
  </si>
  <si>
    <t>Credit Litigation</t>
  </si>
  <si>
    <t>Bank Charges</t>
  </si>
  <si>
    <t>Max Credit Limit (Uncapped - For reference)</t>
  </si>
  <si>
    <t>Credit Limit to be accorded</t>
  </si>
  <si>
    <t>OA &amp; AL Approval Routing for Credit Limit</t>
  </si>
  <si>
    <t>Approval Status</t>
  </si>
  <si>
    <t>OA &amp; AL Approval Routing for Risk Exposure</t>
  </si>
  <si>
    <t>AR Status</t>
  </si>
  <si>
    <t>Existing Combined Credit Limit across all (EBS, BSCS, SAP)</t>
  </si>
  <si>
    <t>Total Outstanding AR (EBS, BSCS, SAP)</t>
  </si>
  <si>
    <t>Ageing Bucket (Current - 60 days)</t>
  </si>
  <si>
    <t>Ageing Bucket (&gt; 60 days)</t>
  </si>
  <si>
    <t>Order Value</t>
  </si>
  <si>
    <t>Past 3 months items' value approved (Still unbilled in SAP)
*Please factor in GST and Exchange Rate if it's not in SGD</t>
  </si>
  <si>
    <t>Estimated Contract value of this request*
*Please factor in GST and Exchange Rate if it's not in SGD</t>
  </si>
  <si>
    <t>Credit Limit Balance</t>
  </si>
  <si>
    <t>Total Risk Exposure</t>
  </si>
  <si>
    <t>DECISION MAKING</t>
  </si>
  <si>
    <t>Customer tenure with Starhub (in terms of years); to include SAP</t>
  </si>
  <si>
    <t>Last Invoice date</t>
  </si>
  <si>
    <t>First invoice date</t>
  </si>
  <si>
    <t>86 - 100 (Minimal risk)</t>
  </si>
  <si>
    <t>Number of EBS/BSCS accounts blacklisted/written off</t>
  </si>
  <si>
    <t>Total amount written off</t>
  </si>
  <si>
    <t>Total No of Active EBS accounts on Giro/Credit Card</t>
  </si>
  <si>
    <t>Total No of Active BSCS accounts on Giro/Credit Card</t>
  </si>
  <si>
    <t>Is this Credit Assessment related to SMB?</t>
  </si>
  <si>
    <t>Select type of service</t>
  </si>
  <si>
    <t>Usage</t>
  </si>
  <si>
    <t>Max no of sign up</t>
  </si>
  <si>
    <t>Deposit/Banker's Guarantee required for this order</t>
  </si>
  <si>
    <t>Please indicate Deposit/Banker's Guarante amount</t>
  </si>
  <si>
    <t>Is customer an existing vendor?</t>
  </si>
  <si>
    <t>Please indicate vendor balance</t>
  </si>
  <si>
    <t>Net outstanding (AR - AP)</t>
  </si>
  <si>
    <t>Total Contract Value (Oppty Value)
*Please factor in GST and Exchange Rate if it's not in SGD</t>
  </si>
  <si>
    <t>3MRC
*Please factor in GST and Exchange Rate if it's not in SGD</t>
  </si>
  <si>
    <t>OTC
*Please factor in GST and Exchange Rate if it's not in SGD</t>
  </si>
  <si>
    <t>Billing milestone required for the assessment</t>
  </si>
  <si>
    <t>Additional Remarks / Recommendations (To be entered below)</t>
  </si>
  <si>
    <t>Receipts</t>
  </si>
  <si>
    <t>Payment</t>
  </si>
  <si>
    <t>Balance</t>
  </si>
  <si>
    <t>Remarks</t>
  </si>
  <si>
    <t>Please Select</t>
  </si>
  <si>
    <t>Credit Re-assessment</t>
  </si>
  <si>
    <t>No/Credit Re-assessment - Sole Proprietorship (Owned by Company)</t>
  </si>
  <si>
    <t>Company Name</t>
  </si>
  <si>
    <t>Business Registration Number</t>
  </si>
  <si>
    <t>Entity Type</t>
  </si>
  <si>
    <t>Paid Up Capital in SGD (If USD, indicated in Remarks)</t>
  </si>
  <si>
    <t>Date of Incorporation</t>
  </si>
  <si>
    <t xml:space="preserve">Date of Last AR </t>
  </si>
  <si>
    <t xml:space="preserve">Date of Last AGM </t>
  </si>
  <si>
    <t>Number of Credit Related Litigations in last 3 years</t>
  </si>
  <si>
    <t>Amount of Credit Related Litigations in last 3 years</t>
  </si>
  <si>
    <t>Number of Bank Charges in last 3 years</t>
  </si>
  <si>
    <t>Blacklist entries for Company, Director(s) / Shareholder(s)</t>
  </si>
  <si>
    <t>Private Company Ltd by Shares</t>
  </si>
  <si>
    <t>Exempt Company Ltd by Shares</t>
  </si>
  <si>
    <t>Public Company Ltd by Shares</t>
  </si>
  <si>
    <t>Govt Agencies &amp; Stat Board</t>
  </si>
  <si>
    <t>Sole Proprietorship (Owned by Company)</t>
  </si>
  <si>
    <t>FOREIGN COMPANY REGISTERED IN SINGAPORE</t>
  </si>
  <si>
    <t>Partnership</t>
  </si>
  <si>
    <t>Limited Partnership</t>
  </si>
  <si>
    <t>Limited Liability Partnership</t>
  </si>
  <si>
    <t>Existing Combined SAP Credit Limit</t>
  </si>
  <si>
    <t xml:space="preserve">Existing Combined EBS Credit Limit </t>
  </si>
  <si>
    <t xml:space="preserve">Existing Combined BSCS Credit Limit </t>
  </si>
  <si>
    <t>Total Outstanding AR (SAP)</t>
  </si>
  <si>
    <t>Total Outstanding AR (EBS)</t>
  </si>
  <si>
    <t>Total Outstanding AR (BSCS)</t>
  </si>
  <si>
    <t>Name of Blacklist Company, Director(s)/ Shareholder(s)</t>
  </si>
  <si>
    <t>&gt;1</t>
  </si>
  <si>
    <t>&gt;=1</t>
  </si>
  <si>
    <t>Financial Stress Score Rating</t>
  </si>
  <si>
    <t>51 - 85 (Low risk)</t>
  </si>
  <si>
    <t>16 - 50 (Medium risk)</t>
  </si>
  <si>
    <t>1 - 15 (Significant risk)</t>
  </si>
  <si>
    <t>Mobile</t>
  </si>
  <si>
    <t>Fixed</t>
  </si>
  <si>
    <t>Contract value (incl GST)</t>
  </si>
  <si>
    <t>Contact Term (months)</t>
  </si>
  <si>
    <t>Contract Start/Billing date</t>
  </si>
  <si>
    <t>Extenal Vendor Name</t>
  </si>
  <si>
    <t>Total (excl GST)</t>
  </si>
  <si>
    <t>Total (incl GST)</t>
  </si>
  <si>
    <t>Payment Term</t>
  </si>
  <si>
    <t>Period</t>
  </si>
  <si>
    <t>V:\Finance\Systems-Risk-ERM\OrderToCash\C2C\Reporting\Ageing, Billing &amp; Collection\BSCS Ageing\2022\Oct\BSCS Ageing_07102022.xlsx</t>
  </si>
  <si>
    <t>OPPTY-220928637861</t>
  </si>
  <si>
    <t>_x000D_
Paid up Capital in USD : 71,799,702.00_x000D_
Paid up Capital in USD : 71,799,702.00</t>
  </si>
  <si>
    <t>Number of Vendor(s)</t>
  </si>
  <si>
    <t>C:\Users\hrhquek\Downloads\SOA - 2022-11-09T183317.537.xlsx</t>
  </si>
  <si>
    <t>198700165H</t>
  </si>
  <si>
    <t>17/01/1987</t>
  </si>
  <si>
    <t>08/06/2022</t>
  </si>
  <si>
    <t>07/06/2022</t>
  </si>
  <si>
    <t>37,000,000.00</t>
  </si>
  <si>
    <t>FUJIKURA ASIA LIMITED</t>
  </si>
  <si>
    <t>Cash Balance at end of the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</si>
</sst>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-#,##0.00_-;\-\ #,##0.00_-;_-\ &quot;-&quot;??_-;_-@_-"/>
    <numFmt numFmtId="168" formatCode="dd/mm/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6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0" fontId="10" fillId="0" borderId="0"/>
  </cellStyleXfs>
  <cellXfs count="96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1" xfId="0" applyBorder="1"/>
    <xf numFmtId="0" fontId="1" fillId="2" borderId="1" xfId="0" applyFont="1" applyFill="1" applyBorder="1"/>
    <xf numFmtId="0" fontId="0" fillId="0" borderId="3" xfId="0" applyBorder="1" applyAlignment="1">
      <alignment wrapText="1"/>
    </xf>
    <xf numFmtId="0" fontId="0" fillId="3" borderId="3" xfId="0" applyFill="1" applyBorder="1"/>
    <xf numFmtId="0" fontId="0" fillId="4" borderId="3" xfId="0" applyFill="1" applyBorder="1"/>
    <xf numFmtId="0" fontId="0" fillId="0" borderId="0" xfId="0" applyAlignment="1">
      <alignment horizontal="left"/>
    </xf>
    <xf numFmtId="0" fontId="2" fillId="0" borderId="3" xfId="0" applyFont="1" applyBorder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/>
    <xf numFmtId="0" fontId="1" fillId="5" borderId="0" xfId="0" applyFont="1" applyFill="1"/>
    <xf numFmtId="0" fontId="1" fillId="2" borderId="0" xfId="0" applyFont="1" applyFill="1"/>
    <xf numFmtId="0" fontId="1" fillId="6" borderId="0" xfId="0" applyFont="1" applyFill="1"/>
    <xf numFmtId="0" fontId="2" fillId="0" borderId="0" xfId="0" applyFont="1"/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6" xfId="0" applyBorder="1" applyAlignment="1">
      <alignment horizontal="left" vertical="top"/>
    </xf>
    <xf numFmtId="0" fontId="0" fillId="0" borderId="2" xfId="0" applyBorder="1" applyAlignment="1">
      <alignment horizontal="left"/>
    </xf>
    <xf numFmtId="0" fontId="0" fillId="0" borderId="0" xfId="0" applyProtection="1">
      <protection locked="0" hidden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top"/>
    </xf>
    <xf numFmtId="0" fontId="0" fillId="7" borderId="5" xfId="0" applyFill="1" applyBorder="1"/>
    <xf numFmtId="0" fontId="0" fillId="0" borderId="4" xfId="0" applyBorder="1" applyAlignment="1" applyProtection="1">
      <alignment horizontal="left"/>
      <protection hidden="1"/>
    </xf>
    <xf numFmtId="167" fontId="0" fillId="0" borderId="4" xfId="1" applyNumberFormat="1" applyFont="1" applyBorder="1" applyAlignment="1">
      <alignment horizontal="left"/>
    </xf>
    <xf numFmtId="167" fontId="0" fillId="3" borderId="4" xfId="1" applyNumberFormat="1" applyFont="1" applyFill="1" applyBorder="1" applyAlignment="1">
      <alignment horizontal="left"/>
    </xf>
    <xf numFmtId="167" fontId="0" fillId="0" borderId="4" xfId="1" applyNumberFormat="1" applyFont="1" applyFill="1" applyBorder="1" applyAlignment="1">
      <alignment horizontal="left"/>
    </xf>
    <xf numFmtId="0" fontId="0" fillId="7" borderId="3" xfId="0" applyFill="1" applyBorder="1"/>
    <xf numFmtId="0" fontId="0" fillId="8" borderId="3" xfId="0" applyFill="1" applyBorder="1"/>
    <xf numFmtId="0" fontId="0" fillId="9" borderId="3" xfId="0" applyFill="1" applyBorder="1"/>
    <xf numFmtId="167" fontId="0" fillId="3" borderId="6" xfId="1" applyNumberFormat="1" applyFont="1" applyFill="1" applyBorder="1" applyAlignment="1">
      <alignment horizontal="left"/>
    </xf>
    <xf numFmtId="0" fontId="3" fillId="2" borderId="0" xfId="0" applyFont="1" applyFill="1" applyAlignment="1">
      <alignment horizontal="left" wrapText="1"/>
    </xf>
    <xf numFmtId="17" fontId="0" fillId="0" borderId="4" xfId="0" applyNumberFormat="1" applyBorder="1" applyAlignment="1">
      <alignment horizontal="left"/>
    </xf>
    <xf numFmtId="17" fontId="1" fillId="0" borderId="4" xfId="0" applyNumberFormat="1" applyFont="1" applyBorder="1" applyAlignment="1">
      <alignment horizontal="left"/>
    </xf>
    <xf numFmtId="167" fontId="0" fillId="0" borderId="4" xfId="0" applyNumberFormat="1" applyBorder="1" applyAlignment="1">
      <alignment horizontal="left"/>
    </xf>
    <xf numFmtId="0" fontId="0" fillId="0" borderId="0" xfId="0" applyProtection="1">
      <protection hidden="1"/>
    </xf>
    <xf numFmtId="0" fontId="0" fillId="0" borderId="5" xfId="0" applyBorder="1" applyAlignment="1" applyProtection="1">
      <alignment vertical="top"/>
      <protection hidden="1"/>
    </xf>
    <xf numFmtId="0" fontId="0" fillId="4" borderId="3" xfId="0" applyFill="1" applyBorder="1" applyAlignment="1">
      <alignment vertical="top"/>
    </xf>
    <xf numFmtId="167" fontId="0" fillId="4" borderId="4" xfId="1" applyNumberFormat="1" applyFont="1" applyFill="1" applyBorder="1" applyAlignment="1">
      <alignment horizontal="left" vertical="top"/>
    </xf>
    <xf numFmtId="14" fontId="0" fillId="0" borderId="4" xfId="0" applyNumberFormat="1" applyBorder="1" applyAlignment="1" applyProtection="1">
      <alignment horizontal="left"/>
      <protection hidden="1"/>
    </xf>
    <xf numFmtId="0" fontId="2" fillId="0" borderId="4" xfId="0" applyFont="1" applyBorder="1" applyAlignment="1" applyProtection="1">
      <alignment horizontal="left"/>
      <protection hidden="1"/>
    </xf>
    <xf numFmtId="0" fontId="0" fillId="8" borderId="0" xfId="1" applyNumberFormat="1" applyFont="1" applyFill="1" applyAlignment="1" applyProtection="1">
      <alignment horizontal="left"/>
      <protection hidden="1"/>
    </xf>
    <xf numFmtId="0" fontId="0" fillId="8" borderId="4" xfId="0" applyFill="1" applyBorder="1" applyAlignment="1" applyProtection="1">
      <alignment horizontal="left"/>
      <protection hidden="1"/>
    </xf>
    <xf numFmtId="0" fontId="0" fillId="9" borderId="4" xfId="0" applyFill="1" applyBorder="1" applyAlignment="1" applyProtection="1">
      <alignment horizontal="left"/>
      <protection hidden="1"/>
    </xf>
    <xf numFmtId="0" fontId="0" fillId="7" borderId="4" xfId="0" applyFill="1" applyBorder="1" applyAlignment="1" applyProtection="1">
      <alignment horizontal="left"/>
      <protection hidden="1"/>
    </xf>
    <xf numFmtId="0" fontId="0" fillId="7" borderId="6" xfId="0" applyFill="1" applyBorder="1" applyAlignment="1" applyProtection="1">
      <alignment horizontal="left"/>
      <protection hidden="1"/>
    </xf>
    <xf numFmtId="167" fontId="0" fillId="0" borderId="4" xfId="1" applyNumberFormat="1" applyFont="1" applyBorder="1" applyAlignment="1" applyProtection="1">
      <alignment horizontal="left"/>
      <protection hidden="1"/>
    </xf>
    <xf numFmtId="167" fontId="0" fillId="0" borderId="6" xfId="1" applyNumberFormat="1" applyFont="1" applyFill="1" applyBorder="1" applyAlignment="1" applyProtection="1">
      <alignment horizontal="left"/>
      <protection hidden="1"/>
    </xf>
    <xf numFmtId="0" fontId="0" fillId="0" borderId="7" xfId="0" applyBorder="1"/>
    <xf numFmtId="166" fontId="0" fillId="0" borderId="7" xfId="1" applyFont="1" applyBorder="1" applyAlignment="1">
      <alignment horizontal="left" vertical="top"/>
    </xf>
    <xf numFmtId="166" fontId="0" fillId="0" borderId="7" xfId="1" applyFont="1" applyBorder="1" applyAlignment="1">
      <alignment vertical="top"/>
    </xf>
    <xf numFmtId="0" fontId="0" fillId="0" borderId="7" xfId="0" applyBorder="1" applyAlignment="1">
      <alignment horizontal="left"/>
    </xf>
    <xf numFmtId="0" fontId="7" fillId="0" borderId="7" xfId="0" applyFont="1" applyBorder="1" applyAlignment="1">
      <alignment vertical="top"/>
    </xf>
    <xf numFmtId="0" fontId="8" fillId="0" borderId="3" xfId="0" applyFont="1" applyBorder="1" applyAlignment="1">
      <alignment wrapText="1"/>
    </xf>
    <xf numFmtId="167" fontId="9" fillId="0" borderId="4" xfId="1" applyNumberFormat="1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3" fillId="0" borderId="0" xfId="0" applyFont="1" applyAlignment="1">
      <alignment vertical="top" wrapText="1"/>
    </xf>
    <xf numFmtId="0" fontId="0" fillId="0" borderId="9" xfId="0" applyBorder="1" applyAlignment="1">
      <alignment horizontal="left" wrapText="1"/>
    </xf>
    <xf numFmtId="0" fontId="0" fillId="0" borderId="0" xfId="0" applyAlignment="1">
      <alignment horizontal="left" vertical="top" wrapText="1"/>
    </xf>
    <xf numFmtId="4" fontId="0" fillId="0" borderId="4" xfId="0" applyNumberFormat="1" applyBorder="1" applyAlignment="1">
      <alignment horizontal="left"/>
    </xf>
    <xf numFmtId="168" fontId="0" fillId="0" borderId="4" xfId="0" applyNumberFormat="1" applyBorder="1" applyAlignment="1">
      <alignment horizontal="left"/>
    </xf>
    <xf numFmtId="166" fontId="4" fillId="0" borderId="0" xfId="1" applyFont="1"/>
    <xf numFmtId="166" fontId="0" fillId="3" borderId="3" xfId="1" applyFont="1" applyFill="1" applyBorder="1"/>
    <xf numFmtId="166" fontId="0" fillId="0" borderId="0" xfId="1" applyFont="1" applyAlignment="1">
      <alignment horizontal="left"/>
    </xf>
    <xf numFmtId="166" fontId="3" fillId="0" borderId="0" xfId="1" applyFont="1" applyAlignment="1">
      <alignment horizontal="left" vertical="center"/>
    </xf>
    <xf numFmtId="166" fontId="0" fillId="0" borderId="0" xfId="1" applyFont="1"/>
    <xf numFmtId="166" fontId="0" fillId="3" borderId="5" xfId="1" applyFont="1" applyFill="1" applyBorder="1"/>
    <xf numFmtId="0" fontId="0" fillId="2" borderId="7" xfId="0" applyFill="1" applyBorder="1" applyAlignment="1">
      <alignment vertical="top" wrapText="1"/>
    </xf>
    <xf numFmtId="164" fontId="0" fillId="2" borderId="7" xfId="1" applyNumberFormat="1" applyFont="1" applyFill="1" applyBorder="1" applyAlignment="1">
      <alignment horizontal="left" vertical="top"/>
    </xf>
    <xf numFmtId="0" fontId="0" fillId="2" borderId="7" xfId="0" applyFill="1" applyBorder="1"/>
    <xf numFmtId="0" fontId="0" fillId="2" borderId="7" xfId="0" applyFill="1" applyBorder="1" applyAlignment="1">
      <alignment horizontal="left"/>
    </xf>
    <xf numFmtId="0" fontId="0" fillId="2" borderId="7" xfId="0" applyFill="1" applyBorder="1" applyAlignment="1">
      <alignment vertical="top"/>
    </xf>
    <xf numFmtId="0" fontId="0" fillId="2" borderId="7" xfId="1" applyNumberFormat="1" applyFont="1" applyFill="1" applyBorder="1" applyAlignment="1">
      <alignment horizontal="left" vertical="top"/>
    </xf>
    <xf numFmtId="17" fontId="0" fillId="2" borderId="7" xfId="0" applyNumberFormat="1" applyFill="1" applyBorder="1" applyAlignment="1">
      <alignment horizontal="left"/>
    </xf>
    <xf numFmtId="0" fontId="0" fillId="0" borderId="7" xfId="0" applyBorder="1" applyAlignment="1">
      <alignment vertical="top"/>
    </xf>
    <xf numFmtId="17" fontId="0" fillId="0" borderId="7" xfId="1" applyNumberFormat="1" applyFont="1" applyBorder="1" applyAlignment="1">
      <alignment vertical="top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8" fillId="0" borderId="3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3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3" fillId="0" borderId="0" xfId="0" applyFont="1" applyAlignment="1">
      <alignment horizontal="left" vertical="top" wrapText="1"/>
    </xf>
    <xf numFmtId="166" fontId="3" fillId="0" borderId="0" xfId="1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17" fontId="0" fillId="0" borderId="0" xfId="0" applyNumberFormat="1"/>
  </cellXfs>
  <cellStyles count="4">
    <cellStyle name="Comma" xfId="1" builtinId="3"/>
    <cellStyle name="Currency 11" xfId="2" xr:uid="{74F9E42E-91AB-4AAF-8B06-A4EC6AFE526C}"/>
    <cellStyle name="Normal" xfId="0" builtinId="0"/>
    <cellStyle name="Normal 2" xfId="3" xr:uid="{5371AC39-109F-4C04-82BF-A10CB6608A4E}"/>
  </cellStyles>
  <dxfs count="7">
    <dxf>
      <fill>
        <patternFill>
          <bgColor rgb="FFFF000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3325345</xdr:colOff>
      <xdr:row>0</xdr:row>
      <xdr:rowOff>38100</xdr:rowOff>
    </xdr:from>
    <xdr:to>
      <xdr:col>2</xdr:col>
      <xdr:colOff>5625677</xdr:colOff>
      <xdr:row>0</xdr:row>
      <xdr:rowOff>488725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6169" y="38100"/>
          <a:ext cx="2300332" cy="450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37</xdr:row>
          <xdr:rowOff>38100</xdr:rowOff>
        </xdr:from>
        <xdr:to>
          <xdr:col>4</xdr:col>
          <xdr:colOff>3581400</xdr:colOff>
          <xdr:row>44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Credit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22</xdr:row>
          <xdr:rowOff>160020</xdr:rowOff>
        </xdr:from>
        <xdr:to>
          <xdr:col>4</xdr:col>
          <xdr:colOff>3581400</xdr:colOff>
          <xdr:row>37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Billing Miletsone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1532962</xdr:colOff>
      <xdr:row>16</xdr:row>
      <xdr:rowOff>153521</xdr:rowOff>
    </xdr:from>
    <xdr:to>
      <xdr:col>4</xdr:col>
      <xdr:colOff>2453712</xdr:colOff>
      <xdr:row>22</xdr:row>
      <xdr:rowOff>118344</xdr:rowOff>
    </xdr:to>
    <xdr:pic macro="[0]!ClearContents">
      <xdr:nvPicPr>
        <xdr:cNvPr id="7" name="Graphic 6" descr="Eraser outlin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590491" y="3997139"/>
          <a:ext cx="914400" cy="91732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45</xdr:row>
          <xdr:rowOff>45720</xdr:rowOff>
        </xdr:from>
        <xdr:to>
          <xdr:col>4</xdr:col>
          <xdr:colOff>3589020</xdr:colOff>
          <xdr:row>49</xdr:row>
          <xdr:rowOff>7620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SOA 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49</xdr:row>
          <xdr:rowOff>7620</xdr:rowOff>
        </xdr:from>
        <xdr:to>
          <xdr:col>4</xdr:col>
          <xdr:colOff>3581400</xdr:colOff>
          <xdr:row>52</xdr:row>
          <xdr:rowOff>144780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Bizfile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0</xdr:row>
          <xdr:rowOff>30480</xdr:rowOff>
        </xdr:from>
        <xdr:to>
          <xdr:col>4</xdr:col>
          <xdr:colOff>678180</xdr:colOff>
          <xdr:row>3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qty of Vendor(s)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678180</xdr:colOff>
          <xdr:row>0</xdr:row>
          <xdr:rowOff>7620</xdr:rowOff>
        </xdr:from>
        <xdr:to>
          <xdr:col>7</xdr:col>
          <xdr:colOff>121920</xdr:colOff>
          <xdr:row>3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Vendor(s) &amp; Period line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0</xdr:row>
          <xdr:rowOff>0</xdr:rowOff>
        </xdr:from>
        <xdr:to>
          <xdr:col>9</xdr:col>
          <xdr:colOff>647700</xdr:colOff>
          <xdr:row>3</xdr:row>
          <xdr:rowOff>68580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Receipts &amp; Payments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266700</xdr:colOff>
      <xdr:row>22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410700" cy="424815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22</xdr:row>
      <xdr:rowOff>161925</xdr:rowOff>
    </xdr:from>
    <xdr:to>
      <xdr:col>15</xdr:col>
      <xdr:colOff>523874</xdr:colOff>
      <xdr:row>39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352925"/>
          <a:ext cx="9629774" cy="30765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190499</xdr:rowOff>
    </xdr:from>
    <xdr:to>
      <xdr:col>16</xdr:col>
      <xdr:colOff>142874</xdr:colOff>
      <xdr:row>54</xdr:row>
      <xdr:rowOff>66674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619999"/>
          <a:ext cx="9896474" cy="2733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65</xdr:row>
      <xdr:rowOff>0</xdr:rowOff>
    </xdr:from>
    <xdr:to>
      <xdr:col>0</xdr:col>
      <xdr:colOff>4587141</xdr:colOff>
      <xdr:row>83</xdr:row>
      <xdr:rowOff>89647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0"/>
          <a:ext cx="4587141" cy="35186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16CB-1E08-4A76-87D1-FE220526E426}">
  <sheetPr codeName="Sheet1">
    <pageSetUpPr fitToPage="1"/>
  </sheetPr>
  <dimension ref="A1:L87"/>
  <sheetViews>
    <sheetView showGridLines="0" zoomScale="70" zoomScaleNormal="70" workbookViewId="0">
      <selection activeCell="E6" sqref="E6"/>
    </sheetView>
  </sheetViews>
  <sheetFormatPr defaultRowHeight="14.4" x14ac:dyDescent="0.3"/>
  <cols>
    <col min="1" max="1" width="8.44140625" style="13" bestFit="1" customWidth="1"/>
    <col min="2" max="2" width="69" bestFit="1" customWidth="1"/>
    <col min="3" max="3" width="88.109375" style="8" customWidth="1"/>
    <col min="4" max="4" width="15.33203125" style="8" bestFit="1" customWidth="1"/>
    <col min="5" max="5" width="54.88671875" style="10" customWidth="1"/>
    <col min="6" max="6" width="36.44140625" style="10" hidden="1" customWidth="1"/>
    <col min="7" max="7" width="24.5546875" hidden="1" customWidth="1"/>
    <col min="8" max="8" width="7.109375" hidden="1" customWidth="1"/>
    <col min="9" max="9" width="9.109375" hidden="1" customWidth="1"/>
    <col min="10" max="28" width="9.109375" customWidth="1"/>
  </cols>
  <sheetData>
    <row r="1" spans="2:12" ht="42" customHeight="1" x14ac:dyDescent="0.3">
      <c r="B1" s="86" t="s">
        <v>0</v>
      </c>
      <c r="C1" s="87"/>
      <c r="F1" s="10">
        <f>VLOOKUP($C$32,$G$1:$H$7,2,0)</f>
        <v>300000</v>
      </c>
      <c r="G1" t="s">
        <v>1</v>
      </c>
      <c r="H1" s="22" t="s">
        <v>2</v>
      </c>
      <c r="I1" t="s">
        <v>117</v>
      </c>
      <c r="K1" s="22"/>
    </row>
    <row r="2" spans="2:12" x14ac:dyDescent="0.3">
      <c r="B2" s="1" t="s">
        <v>3</v>
      </c>
      <c r="C2" s="44">
        <f ca="1">TODAY()</f>
        <v>44938</v>
      </c>
      <c r="F2" s="8">
        <f>IF($C$22&gt;=(5/100*$C$17),"No credit to be given as litigation is &gt;= 0.05% of paid up capital",$C$22)</f>
        <v>0</v>
      </c>
      <c r="G2" s="22" t="s">
        <v>4</v>
      </c>
      <c r="H2" s="22">
        <v>10000</v>
      </c>
      <c r="I2" t="s">
        <v>121</v>
      </c>
    </row>
    <row r="3" spans="2:12" x14ac:dyDescent="0.3">
      <c r="B3" s="1" t="s">
        <v>5</v>
      </c>
      <c r="C3" s="18" t="s">
        <v>118</v>
      </c>
      <c r="F3" s="8"/>
      <c r="G3" s="22" t="s">
        <v>6</v>
      </c>
      <c r="H3" s="22">
        <v>15000</v>
      </c>
    </row>
    <row r="4" spans="2:12" ht="15" thickBot="1" x14ac:dyDescent="0.35">
      <c r="B4" s="2" t="s">
        <v>7</v>
      </c>
      <c r="C4" s="19" t="s">
        <v>8</v>
      </c>
      <c r="F4" s="10" t="str">
        <f ca="1">IF(ISBLANK($C$20),"Please enter NA if AGM is blank",IF($C$19="NA","Credit Limit Capped @$5,000 or lower", IF($C$20="NA","Credit Limit Capped @$5,000 or lower", IF(AND((DATEDIF($C$18,$C$2,"M" ))&lt;=18,$C$20="NA"),"Credit Limit Capped @$5,000 or lower", IF(AND((DATEDIF($C$18,$C$2,"M" ))&lt;=18,$C$19="NA",$C$20="NA"),"Credit Limit Capped @$5,000 or lower", IF($C$20&gt;$C$19,"AR's Date cannot be earlier than AGM's Date", IF(AND((DATEDIF($C$18,$C$2,"M" ))&gt;18, (DATEDIF($C$20,$C$2,"M" ))&lt;=15),"0", IF(AND((DATEDIF($C$18,$C$2,"M" ))&gt;18, (DATEDIF($C$20,$C$2,"M" ))&gt;15),"-2.5","Credit Limit Capped @ $5,000 or lower"))))))))</f>
        <v>0</v>
      </c>
      <c r="G4" s="22" t="s">
        <v>9</v>
      </c>
      <c r="H4" s="22">
        <v>45000</v>
      </c>
    </row>
    <row r="5" spans="2:12" ht="15" thickBot="1" x14ac:dyDescent="0.35">
      <c r="F5" s="10" t="str">
        <f ca="1">IF(ISBLANK($C$19),"Please indicate NA if AR is blank", IF(OR($C$19="NA",$C$20="NA"),"Credit Limit Capped @$5,000 or lower", IF(AND((DATEDIF($C$20,$C$19,"D" ))&lt;=30,$F$4="0"),"0","-2.5")))</f>
        <v>0</v>
      </c>
      <c r="G5" s="22" t="s">
        <v>10</v>
      </c>
      <c r="H5" s="22">
        <v>150000</v>
      </c>
      <c r="L5" s="40"/>
    </row>
    <row r="6" spans="2:12" x14ac:dyDescent="0.3">
      <c r="B6" s="88" t="s">
        <v>11</v>
      </c>
      <c r="C6" s="89"/>
      <c r="F6" s="10">
        <f>IF(OR($C$16="Sole Proprietorship",$C$16="Partnership",$C$16="Limited Partnership",$C$16="Limited Liability Partnership"),"No Credit Limit to be given due to Entity Type", (40/100)*$C$17)</f>
        <v>14800000</v>
      </c>
      <c r="G6" s="22" t="s">
        <v>12</v>
      </c>
      <c r="H6" s="22">
        <v>200000</v>
      </c>
    </row>
    <row r="7" spans="2:12" ht="30.75" customHeight="1" thickBot="1" x14ac:dyDescent="0.35">
      <c r="B7" s="41" t="s">
        <v>13</v>
      </c>
      <c r="C7" s="20" t="s">
        <v>14</v>
      </c>
      <c r="E7" s="61"/>
      <c r="F7" s="10">
        <f>IF($C$22&gt;=(5/100*$C$17),"No credit to be given as litigation is &gt;= 0.05% of paid up capital",$C$22)</f>
        <v>0</v>
      </c>
      <c r="G7" s="22" t="s">
        <v>15</v>
      </c>
      <c r="H7" s="22">
        <v>300000</v>
      </c>
    </row>
    <row r="8" spans="2:12" ht="15" thickBot="1" x14ac:dyDescent="0.35">
      <c r="F8" s="10" t="e">
        <f ca="1">IF(OR($C$16="Sole Proprietorship",$C$16="Partnership",$C$16="Limited Partnership",$C$16="Limited Liability Partnership"),"No Credit Limit to be given due to Entity Type",IF(AND($C$30="Credit Limit Capped @$5,000 or lower",$F$6&gt;5000),10000,IF(AND($C$28="Credit Limit Capped @$5,000 or lower",$F$6&gt;5000),10000,IF(AND($C$30="Credit Limit Capped @$5,000 or lower",$F$6&lt;5000),$F$6,IF(AND($C$28="Credit Limit Capped @$5,000 or lower",$F$6&lt;5000),$F$6,IF(20="No credit to be given as litigation is &gt;= 0.05% of paid up capital",$F$7,SUM($C$29+$C$28+$C$30+$C$31+$C$33+$C$34+(IF($C$24="Please Select","Please select Blacklist entries above",IF($C$24="Yes","-5",IF($C$24="No","0"))))+40)))))))</f>
        <v>#VALUE!</v>
      </c>
      <c r="G8" s="22"/>
      <c r="H8" s="22"/>
    </row>
    <row r="9" spans="2:12" x14ac:dyDescent="0.3">
      <c r="B9" s="88" t="s">
        <v>16</v>
      </c>
      <c r="C9" s="90"/>
      <c r="D9" s="60" t="s">
        <v>17</v>
      </c>
      <c r="E9" s="11"/>
      <c r="F9" s="11" t="e">
        <f ca="1">IF($C$16="FOREIGN COMPANY REGISTERED IN SINGAPORE","Please seek Finance Manager's advice",IF($C$30="Credit Limit Capped @$5,000 or lower",$F$8,IF($C$33="No credit to be given as litigation is &gt;= 0.05% of paid up capital","No credit to be given as litigation is &gt;= 0.05% of paid up capital",ROUNDUP(($F$8/100*$C$17),-2))))</f>
        <v>#VALUE!</v>
      </c>
    </row>
    <row r="10" spans="2:12" x14ac:dyDescent="0.3">
      <c r="B10" s="1" t="s">
        <v>13</v>
      </c>
      <c r="C10" s="63"/>
      <c r="D10" s="18">
        <f>IF(C10&lt;&gt;"",LEN(C10)-LEN(SUBSTITUTE(C10,",",""))+1,0)</f>
        <v>0</v>
      </c>
      <c r="E10" s="94"/>
      <c r="F10" s="36" t="e">
        <f ca="1">IF(OR($C$16="Sole Proprietorship",$C$16="Partnership",$C$16=" Limited Partnership ",$C$16=" Limited Liability Partnership "),"No Credit Limit to be given due to Entity Type", IF($C$16="FOREIGN COMPANY REGISTERED IN SINGAPORE","Please seek Finance Manager's advice", IF(AND($C$7="Credit Re-assessment",$F$9&gt;($C$44*1.5),($C$44*1.5)&gt;$C$57),($C$44*1.5), IF(AND($C$7="Credit Re-assessment",$F$9&gt;($C$44*1.5),($C$44*1.5)&lt;$C$57,$F$9&gt;$C$57),$C$57, IF(AND($C$7="Credit Re-assessment",$F$9&lt;=($C$44*1.5),$F$9&gt;=$C$57),$C$57, IF(AND($C$7="No / Credit assessment - Sole Proprietorship (Owned by Company)", (50/100*$F$9)&gt;$C$57, (50/100*$F$9)&gt;($C$44*1.5),($C$44*1.5)&gt;$C$57),($C$44*1.5), IF(AND($C$7="No / Credit assessment - Sole Proprietorship (Owned by Company)", (50/100*$F$9)&gt;$C$57, (50/100*$F$9)&gt;($C$44*1.5),($C$44*1.5)&lt;$C$57,$F$9&gt;$C$57),$C$57, IF(AND($C$7="No / Credit assessment - Sole Proprietorship (Owned by Company)", (50/100*$F$9)&lt;$C$57, (50/100*$F$9)&lt;=($C$44*1.5),$F$9&gt;=$C$57),$C$45,"Please seek Finance manager's advice"))))))))</f>
        <v>#VALUE!</v>
      </c>
    </row>
    <row r="11" spans="2:12" x14ac:dyDescent="0.3">
      <c r="B11" s="1" t="s">
        <v>18</v>
      </c>
      <c r="C11" s="56"/>
      <c r="D11" s="18">
        <f>IF(C11&lt;&gt;"",LEN(C11)-LEN(SUBSTITUTE(C11,",",""))+1,0)</f>
        <v>0</v>
      </c>
      <c r="E11" s="94"/>
      <c r="F11" s="23"/>
    </row>
    <row r="12" spans="2:12" ht="15" thickBot="1" x14ac:dyDescent="0.35">
      <c r="B12" s="2" t="s">
        <v>19</v>
      </c>
      <c r="C12" s="62"/>
      <c r="D12" s="19">
        <f>IF(C12&lt;&gt;"",LEN(C12)-LEN(SUBSTITUTE(C12,",",""))+1,0)</f>
        <v>0</v>
      </c>
      <c r="E12" s="94"/>
      <c r="F12" s="23"/>
    </row>
    <row r="13" spans="2:12" ht="15" thickBot="1" x14ac:dyDescent="0.35"/>
    <row r="14" spans="2:12" ht="15" customHeight="1" x14ac:dyDescent="0.3">
      <c r="B14" s="3" t="str" cm="1">
        <f t="array" aca="1" ref="B14:B24" ca="1">OFFSET(Sheet2!$A$8,1,MATCH('Assessment Form'!$C$7,Sheet2!$A$8:$E$8,0)-1,COUNTA(OFFSET(Sheet2!$A$8,1,MATCH('Assessment Form'!$C$7,Sheet2!$A$8:$E$8,0)-1,11,1)),1)</f>
        <v>Company Name</v>
      </c>
      <c r="C14" s="21" t="s">
        <v>127</v>
      </c>
      <c r="E14" s="91"/>
      <c r="F14" s="24"/>
    </row>
    <row r="15" spans="2:12" x14ac:dyDescent="0.3">
      <c r="B15" s="1" t="str">
        <f ca="1"/>
        <v>Business Registration Number</v>
      </c>
      <c r="C15" s="18" t="s">
        <v>122</v>
      </c>
      <c r="E15" s="91"/>
      <c r="F15" s="24"/>
    </row>
    <row r="16" spans="2:12" x14ac:dyDescent="0.3">
      <c r="B16" s="1" t="str">
        <f ca="1"/>
        <v>Entity Type</v>
      </c>
      <c r="C16" s="18" t="s">
        <v>85</v>
      </c>
      <c r="E16" s="91"/>
      <c r="F16" s="24"/>
    </row>
    <row r="17" spans="2:6" x14ac:dyDescent="0.3">
      <c r="B17" s="1" t="str">
        <f ca="1"/>
        <v>Paid Up Capital in SGD (If USD, indicated in Remarks)</v>
      </c>
      <c r="C17" s="64" t="s">
        <v>126</v>
      </c>
      <c r="E17" s="91"/>
      <c r="F17" s="24"/>
    </row>
    <row r="18" spans="2:6" x14ac:dyDescent="0.3">
      <c r="B18" s="1" t="str">
        <f ca="1"/>
        <v>Date of Incorporation</v>
      </c>
      <c r="C18" s="65" t="s">
        <v>123</v>
      </c>
      <c r="E18" s="91"/>
      <c r="F18" s="24"/>
    </row>
    <row r="19" spans="2:6" x14ac:dyDescent="0.3">
      <c r="B19" s="1" t="str">
        <f ca="1"/>
        <v xml:space="preserve">Date of Last AR </v>
      </c>
      <c r="C19" s="65" t="s">
        <v>124</v>
      </c>
      <c r="E19" s="91"/>
      <c r="F19" s="24"/>
    </row>
    <row r="20" spans="2:6" x14ac:dyDescent="0.3">
      <c r="B20" s="1" t="str">
        <f ca="1"/>
        <v xml:space="preserve">Date of Last AGM </v>
      </c>
      <c r="C20" s="65" t="s">
        <v>125</v>
      </c>
      <c r="E20" s="91"/>
      <c r="F20" s="24"/>
    </row>
    <row r="21" spans="2:6" x14ac:dyDescent="0.3">
      <c r="B21" s="1" t="str">
        <f ca="1"/>
        <v>Number of Credit Related Litigations in last 3 years</v>
      </c>
      <c r="C21" s="29">
        <v>0</v>
      </c>
      <c r="E21" s="91"/>
      <c r="F21" s="24"/>
    </row>
    <row r="22" spans="2:6" hidden="1" x14ac:dyDescent="0.3">
      <c r="B22" s="1" t="str">
        <f ca="1"/>
        <v>Amount of Credit Related Litigations in last 3 years</v>
      </c>
      <c r="C22" s="29"/>
      <c r="E22" s="91"/>
      <c r="F22" s="24"/>
    </row>
    <row r="23" spans="2:6" x14ac:dyDescent="0.3">
      <c r="B23" s="1" t="str">
        <f ca="1"/>
        <v>Number of Bank Charges in last 3 years</v>
      </c>
      <c r="C23" s="29">
        <v>0</v>
      </c>
      <c r="E23" s="91"/>
      <c r="F23" s="24"/>
    </row>
    <row r="24" spans="2:6" x14ac:dyDescent="0.3">
      <c r="B24" s="1" t="str">
        <f ca="1"/>
        <v>Blacklist entries for Company, Director(s) / Shareholder(s)</v>
      </c>
      <c r="C24" s="18" t="s">
        <v>21</v>
      </c>
      <c r="E24" s="93"/>
      <c r="F24" s="25"/>
    </row>
    <row r="25" spans="2:6" ht="15.75" customHeight="1" thickBot="1" x14ac:dyDescent="0.35">
      <c r="B25" s="2" t="str">
        <f ca="1">_xlfn.IFNA(OFFSET(Sheet2!$A$43,1,MATCH('Assessment Form'!$C$24,Sheet2!$A$43,0)-1,1,1),"")</f>
        <v/>
      </c>
      <c r="C25" s="19"/>
      <c r="E25" s="93"/>
      <c r="F25" s="25"/>
    </row>
    <row r="26" spans="2:6" ht="15" thickBot="1" x14ac:dyDescent="0.35"/>
    <row r="27" spans="2:6" x14ac:dyDescent="0.3">
      <c r="B27" s="4" t="s">
        <v>22</v>
      </c>
      <c r="C27" s="60"/>
    </row>
    <row r="28" spans="2:6" hidden="1" x14ac:dyDescent="0.3">
      <c r="B28" s="1" t="s">
        <v>23</v>
      </c>
      <c r="C28" s="28" t="str">
        <f ca="1">IF(ISBLANK($C$18), "Please enter Date of Incorporation above", IF((DATEDIF($C$18,$C$2,"M" ))&lt;=12, "0", IF(AND((DATEDIF($C$18,$C$2,"M" ))&gt;12,( DATEDIF($C$18,$C$2,"M" ))&lt;=24), "1", IF(AND((DATEDIF($C$18,$C$2,"M" ))&gt;24,( DATEDIF($C$18,$C$2,"M" ))&lt;=36), "2", IF(AND((DATEDIF($C$18,$C$2,"M" ))&gt;36,( DATEDIF($C$18,$C$2,"M" ))&lt;=48), "3", IF(AND((DATEDIF($C$18,$C$2,"M" ))&gt;48,( DATEDIF($C$18,$C$2,"M" ))&lt;=60), "4", IF((DATEDIF($C$18,$C$2,"M" ))&gt;60,"5","0")))))))</f>
        <v>5</v>
      </c>
    </row>
    <row r="29" spans="2:6" x14ac:dyDescent="0.3">
      <c r="B29" s="1" t="s">
        <v>24</v>
      </c>
      <c r="C29" s="28">
        <f>IF($C$16="Please Select","Please select Entity Type above", IF($C$16="Govt Agencies &amp; Stat Board",0, IF($C$16="Public Company Ltd by Shares",5, IF($C$16="Private Company Ltd by Shares",3.4, IF($C$16="Exempt Private Company Ltd by Shares",1.7,0)))))</f>
        <v>3.4</v>
      </c>
    </row>
    <row r="30" spans="2:6" hidden="1" x14ac:dyDescent="0.3">
      <c r="B30" s="9" t="s">
        <v>25</v>
      </c>
      <c r="C30" s="45" t="str">
        <f ca="1">IFERROR(IF(ISBLANK($C$20),"Please enter NA if AGM is blank",IF($C$19="NA","Credit Limit Capped @$5,000 or lower",IF($C$20="NA","Credit Limit Capped @$5,000 or lower",IF(AND((DATEDIF($C$18,$C$2,"M")&lt;=18),$C$20="NA"),"Credit Limit Capped @$5,000 or lower", IF(AND((DATEDIF($C$18,$C$2,"M")&lt;=18),$C$19="NA",$C$20="NA"),"Credit Limit Capped @$5,000 or lower", IF($C$20&gt;$C$19,"AR's Date cannot be earlier than AGM's Date", IF(AND((DATEDIF($C$18,$C$2,"M")&gt;18),(DATEDIF($C$20,$C$2,"M"))&lt;=15),"0", IF(AND((DATEDIF($C$18,$C$2,"M"))&gt;18, (DATEDIF($C$20,$C$2,"M"))&gt;15),"-2.5","Credit Limit Capped @$5,000 or lower")))))))),"Please type NA in CAPS or check the values again")</f>
        <v>0</v>
      </c>
    </row>
    <row r="31" spans="2:6" hidden="1" x14ac:dyDescent="0.3">
      <c r="B31" s="1" t="s">
        <v>26</v>
      </c>
      <c r="C31" s="28" t="str">
        <f ca="1">IFERROR($F$5, "Please type NA in CAPS or check the values again")</f>
        <v>0</v>
      </c>
    </row>
    <row r="32" spans="2:6" x14ac:dyDescent="0.3">
      <c r="B32" s="1" t="s">
        <v>1</v>
      </c>
      <c r="C32" s="28" t="str">
        <f>IF($C$17="","Please enter value under Paid Up Capital above",IF($C$17=0,"NA", IF($C$17&lt;100000,"&lt;$100K", IF(AND($C$17&gt;=100000,$C$17&lt;150000),"&gt;=$100K &lt; $150K", IF(AND($C$17&gt;=150000,$C$17&lt;300000),"&gt;=$150K &lt; $300K", IF(AND($C$17&gt;=300000,$C$17&lt;1000000),"&gt;=$300K &lt; $1M", IF(AND($C$17&gt;=1000000,$C$17&lt;6000000),"&gt;=$1M &lt; $6M", IF($C$17&gt;=6000000,"&gt;= $6M","NA"))))))))</f>
        <v>&gt;= $6M</v>
      </c>
    </row>
    <row r="33" spans="2:6" x14ac:dyDescent="0.3">
      <c r="B33" s="1" t="s">
        <v>27</v>
      </c>
      <c r="C33" s="28" t="str">
        <f>IF(ISBLANK($C$22),"Please enter value under Amount of Credit Litigation",IF(AND($C$16="FOREIGN COMPANY REGISTERED IN SINGAPORE",$C$17="NA",$C$17=0),"0", IF(AND($C$21="Please Select",$C$22&gt;=0),"Please check the value under Number of Credit Litigation or Amount of Credit Litigation",IF(AND($C$21=0,$C$22&gt;0),"Please check the value under Number of Credit Litigation or Amount of Credit Litigation", IF($F$2="No credit to be given as litigation is &gt;= 0.05% of paid up capital","No credit to be given as litigation is &gt;= 0.05% of paid up capital", IF(AND($C$21=1,$C$22=0),"Please check the value under Number of Credit Litigation or Amount of Credit Litigation", IF(AND($C$21&gt;1,$C$22=0),"Please check the value under Number of Credit Litigation or Amount of Credit Litigation", IF(AND($C$21=0,$C$22=0),"0", IF(AND($C$21=1,$C$22&gt;=1,$C$22&lt;=20000),"-3.3", IF(AND($C$21=1,$C$22&gt;20000,$C$22&lt;=100000),"-6.6", IF(AND($C$21=1,$C$22&gt;100000),"-9.9", IF(AND($C$21&gt;1,$C$22&lt;=20000),"-13.2", IF(AND($C$21&gt;1,$C$22&gt;20000,$C$22&lt;=100000),"-16.5", IF(AND($C$21&gt;1,$C$22&gt;100000),"-20","#VALUE!"))))))))))))))</f>
        <v>Please enter value under Amount of Credit Litigation</v>
      </c>
    </row>
    <row r="34" spans="2:6" ht="15.75" hidden="1" customHeight="1" x14ac:dyDescent="0.3">
      <c r="B34" s="1" t="s">
        <v>28</v>
      </c>
      <c r="C34" s="28" t="str">
        <f>IF($C$23="Please Select","Please select Bank charges above", IF($C$23=0,"0", IF($C$23="&gt;=1","-5",0)))</f>
        <v>0</v>
      </c>
    </row>
    <row r="35" spans="2:6" hidden="1" x14ac:dyDescent="0.3">
      <c r="B35" s="1" t="s">
        <v>29</v>
      </c>
      <c r="C35" s="28" t="e">
        <f ca="1">IF($C$16="FOREIGN COMPANY REGISTERED IN SINGAPORE","Please seek Finance Manager's advice", IF($C$30="Credit Limit Capped @$5,000 or lower",$F$8, IF($C$33="No credit to be given as litigation is &gt;= 0.05% of paid up capital","No credit to be given as litigation is &gt;= 0.05% of paid up capital", ROUNDUP(($F$8/100*$C$17),-2))))</f>
        <v>#VALUE!</v>
      </c>
    </row>
    <row r="36" spans="2:6" hidden="1" x14ac:dyDescent="0.3">
      <c r="B36" s="33" t="s">
        <v>30</v>
      </c>
      <c r="C36" s="46" t="e">
        <f ca="1">IF(OR($C$16="Sole Proprietorship",$C$16="Partnership",$C$16="Limited Partnership",$C$16="Limited Liability Partnership"),"No Credit Limit to be given due to Entity Type",IF($C$16="Govt Agencies &amp; Stat Board", 1000000, IF($C$16="FOREIGN COMPANY REGISTERED IN SINGAPORE","Please seek Finance Manager's advice", IF(AND($C$30="Credit Limit Capped @$5,000 or lower",$F$6&gt;5000),5000, IF(AND($C$28="Credit Limit Capped @$5,000 or lower",$F$6&gt;5000),5000, IF(AND($C$30="Credit Limit Capped @$5,000 or lower",$F$6&lt;5000),ROUNDUP($F$6,-2), IF(AND($C$28="Credit Limit Capped @$5,000 or lower",$F$6&lt;5000),ROUNDUP($F$6,-2), IF($C$33="No credit to be given as litigation is &gt;= 0.05% of paid up capital","No credit to be given as litigation is &gt;= 0.05% of paid up capital", IF($C$16="Sole Proprietorship (Owned by Company)",MIN((50/100*$F$9),$F$1), MIN($F$9,$F$1))))))))))</f>
        <v>#VALUE!</v>
      </c>
    </row>
    <row r="37" spans="2:6" hidden="1" x14ac:dyDescent="0.3">
      <c r="B37" s="33" t="s">
        <v>31</v>
      </c>
      <c r="C37" s="47" t="e">
        <f ca="1">IF(OR($C$36="No Credit Limit to be given due to Entity Type",$C$36="No credit to be given as litigation is &gt;= 0.05% of paid up capital",$C$36="Please seek Finance Manager's advice"),"Please seek Finance Manager's advice", IF(AND($C$36&gt;=1,$C$36&lt;=10000),"Within Finance Officer / Executive's Empowerment", IF(AND($C$36&gt;10000,$C$36&lt;=20000),"Within Senior Finance Executive's Empowerment", IF(AND($C$36&gt;20000,$C$36&lt;=50000),"Asst. Finance Manager / Finance Manager's Approval Required", IF(AND($C$36&gt;50000,$C$36&lt;=100000),"Senior Finance Manager's Approval Required", IF(AND($C$36&gt;100000,$C$36&lt;=1000000),"HOD's Approval Required", IF(AND($C$36&gt;1000000,$C$36&lt;=10000000),"CFO's Approval Required", IF(AND($C$36&gt;10000000),"CEO's Approval Required",))))))))</f>
        <v>#VALUE!</v>
      </c>
    </row>
    <row r="38" spans="2:6" x14ac:dyDescent="0.3">
      <c r="B38" s="34" t="s">
        <v>32</v>
      </c>
      <c r="C38" s="48" t="e">
        <f>IF(ISBLANK($C$15),"BRN / UEN cannot be blank", IF(ISBLANK($C$55),"Estimated Contract Value cannot be Blank", IF($C$55=0,"Estimated Contract Value cannot be $0", IF(OR($C$16="Sole Proprietorship",$C$16="Partnership",$C$16="Limited Partnership",$C$16="Limited Liability Partnership"),"No Credit Limit to be given due to Entity Type", IF($C$44&gt;=SUM($C$45+$C$54+$C$55),"Approved as Credit Balance is sufficient", IF($C$16="Govt Agencies &amp; Stat Board","Govt Agencies &amp; Stat Board", IF($C$16="Sole Proprietorship (Owned by Company)","Select No / Credit assessment - Sole Proprietorship (Owned by Company) at Pre-Qualifer Section to see if credit limit can be adjusted","Select Credit Re-assessment at Pre-Qualifer Section to see if credit limit can be adjusted")))))))</f>
        <v>#VALUE!</v>
      </c>
    </row>
    <row r="39" spans="2:6" x14ac:dyDescent="0.3">
      <c r="B39" s="34" t="s">
        <v>33</v>
      </c>
      <c r="C39" s="48" t="e">
        <f>IF($C$38="Approved as credit balance is sufficient","NA", IF($C$38="Select Credit Re-assessment at Pre-Qualifer Section to see if credit limit can be adjusted","Please follow above instructions", IF($C$38="Select No / Credit assessment - Sole Proprietorship (Owned by Company) at Pre-Qualifer Section to see if credit limit can be adjusted","Please follow above instructions", IF(OR($C$38="Govt Agencies &amp; Stat Board",$C$38="FOREIGN COMPANY REGISTERED IN SINGAPORE"),"Please seek Finance Manager's advice"))))</f>
        <v>#VALUE!</v>
      </c>
    </row>
    <row r="40" spans="2:6" hidden="1" x14ac:dyDescent="0.3">
      <c r="B40" s="32" t="s">
        <v>30</v>
      </c>
      <c r="C40" s="49" t="e">
        <f>IF($C$44=0,"Existing Combined Credit Limit cannot be $0", IF(OR($C$45&lt;$C$46,$C$45&lt;$C$47),"Existing outstanding AR cannot be lesser the ageing bucket", IF($F$10="Please seek Finance manager's advice","Re-assessed Credit Limit is not enough to cover Risk Exposure", IF(AND($C$7="Credit Re-assessment",$C$16="Sole Proprietorship (Owned by Company)"),"Please select No / Credit assessment - Sole Proprietorship (Owned by Company) at Pre-Qualifier Section", IF(AND($C$30="Credit Limit Capped @$5,000 or lower",$F$6&gt;5000),5000, IF(AND($C$28="Credit Limit Capped @$5,000 or lower",$F$6&gt;5000),5000, IF(AND($C$30="Credit Limit Capped @$5,000 or lower",$F$6&lt;5000),$F$6, IF(AND($C$28="Credit Limit Capped @$5,000 or lower",$F$6&lt;5000),$F$6, IF($C$35="No credit to be given as litigation is &gt;= 0.05% of paid up capital","No credit to be given as litigation is &gt;= 0.05% of paid up capital", IF(ISERROR($F$10),"Re-assessed Credit Limit is not enough to cover Risk Exposure", IF(AND($C$7="No / Credit assessment - Sole Proprietorship (Owned by Company)",(50/100*$F$9)&gt;$C$57),ROUNDUP($C$57,-2), IF($F$10&gt;=$C$57,ROUNDUP($F$10,-2), IF($F$10&lt;$C$57,"Re-assessed Credit Limit is not enough to cover Risk Exposure","Please seek Finance Manager's advice")))))))))))))</f>
        <v>#VALUE!</v>
      </c>
    </row>
    <row r="41" spans="2:6" ht="15" hidden="1" thickBot="1" x14ac:dyDescent="0.35">
      <c r="B41" s="27" t="s">
        <v>31</v>
      </c>
      <c r="C41" s="50" t="e">
        <f>IF($C$40="Existing outstanding AR cannot be lesser the ageing bucket","Please check above remarks", IF($C$40="Please select No / Credit assessment - Sole Proprietorship (Owned by Company)","Please follow above instructions", IF($C$40="No Adhoc Re-assessment Selected",$C$40, IF($C$40="Please seek Finance Manager's advice",$C$40, IF(OR($C$40="Re-assessed Credit Limit is not enough to cover Risk Exposure",$C$40="No credit to be given as litigation is &gt;= 0.05% of paid up capital"),"Please seek Finance Manager's advice", IF(AND($C$40&gt;=1,$C$40&lt;=10000),"Within Finance Officer / Executive's Empowerment", IF(AND($C$40&gt;10000,$C$40&lt;=20000),"Within Senior Finance Executive's Empowerment", IF(AND($C$40&gt;20000,$C$40&lt;=50000),"Asst. Finance Manager / Finance Manager's Approval Required", IF(AND($C$40&gt;50000,$C$40&lt;=100000),"Senior Finance Manager's Approval Required", IF(AND($C$40&gt;100000,$C$40&lt;=1000000),"HOD's Approval Required", IF(AND($C$40&gt;1000000,$C$40&lt;=10000000),"CFO's Approval Required", IF(AND($C$40&gt;10000000),"CEO's Approval Required",))))))))))))</f>
        <v>#VALUE!</v>
      </c>
    </row>
    <row r="42" spans="2:6" ht="15" thickBot="1" x14ac:dyDescent="0.35"/>
    <row r="43" spans="2:6" x14ac:dyDescent="0.3">
      <c r="B43" s="88" t="s">
        <v>34</v>
      </c>
      <c r="C43" s="89"/>
    </row>
    <row r="44" spans="2:6" ht="18" customHeight="1" x14ac:dyDescent="0.3">
      <c r="B44" s="42" t="s">
        <v>35</v>
      </c>
      <c r="C44" s="43" t="e">
        <v>#VALUE!</v>
      </c>
      <c r="E44" s="25"/>
      <c r="F44" s="12"/>
    </row>
    <row r="45" spans="2:6" x14ac:dyDescent="0.3">
      <c r="B45" s="7" t="s">
        <v>36</v>
      </c>
      <c r="C45" s="43">
        <v>-4804.0519999999997</v>
      </c>
      <c r="E45" s="85"/>
      <c r="F45" s="12"/>
    </row>
    <row r="46" spans="2:6" x14ac:dyDescent="0.3">
      <c r="B46" s="7" t="s">
        <v>37</v>
      </c>
      <c r="C46" s="43">
        <v>0</v>
      </c>
      <c r="E46" s="85"/>
      <c r="F46" s="12"/>
    </row>
    <row r="47" spans="2:6" x14ac:dyDescent="0.3">
      <c r="B47" s="7" t="s">
        <v>38</v>
      </c>
      <c r="C47" s="43">
        <v>-4804.0519999999997</v>
      </c>
      <c r="E47" s="85"/>
      <c r="F47" s="12"/>
    </row>
    <row r="48" spans="2:6" x14ac:dyDescent="0.3">
      <c r="B48" s="6" t="str" cm="1">
        <f t="array" aca="1" ref="B48:B51" ca="1">OFFSET(Sheet2!$A$36,1,MATCH('Assessment Form'!$B$7,Sheet2!$A$36:$C$36,0)-1,COUNTA(OFFSET(Sheet2!$A$36,1,MATCH('Assessment Form'!$B$7,Sheet2!$A$36:$C$36,0)-1,4,1)))</f>
        <v>Existing Combined SAP Credit Limit</v>
      </c>
      <c r="C48" s="30" t="e">
        <f>C44</f>
        <v>#VALUE!</v>
      </c>
      <c r="F48" s="25"/>
    </row>
    <row r="49" spans="1:6" s="70" customFormat="1" x14ac:dyDescent="0.3">
      <c r="A49" s="66"/>
      <c r="B49" s="67" t="str">
        <f ca="1"/>
        <v>Total Outstanding AR (SAP)</v>
      </c>
      <c r="C49" s="30">
        <v>-206.88200000000001</v>
      </c>
      <c r="D49" s="68"/>
      <c r="E49" s="92"/>
      <c r="F49" s="69"/>
    </row>
    <row r="50" spans="1:6" s="70" customFormat="1" x14ac:dyDescent="0.3">
      <c r="A50" s="66"/>
      <c r="B50" s="67" t="str">
        <f ca="1"/>
        <v>Ageing Bucket (Current - 60 days)</v>
      </c>
      <c r="C50" s="30">
        <v>0</v>
      </c>
      <c r="D50" s="68"/>
      <c r="E50" s="92"/>
      <c r="F50" s="69"/>
    </row>
    <row r="51" spans="1:6" s="70" customFormat="1" ht="15" thickBot="1" x14ac:dyDescent="0.35">
      <c r="A51" s="66"/>
      <c r="B51" s="71" t="str">
        <f ca="1"/>
        <v>Ageing Bucket (&gt; 60 days)</v>
      </c>
      <c r="C51" s="35">
        <v>-206.88200000000001</v>
      </c>
      <c r="D51" s="68"/>
      <c r="E51" s="92"/>
      <c r="F51" s="69"/>
    </row>
    <row r="52" spans="1:6" ht="15" thickBot="1" x14ac:dyDescent="0.35">
      <c r="E52" s="12"/>
      <c r="F52" s="12"/>
    </row>
    <row r="53" spans="1:6" x14ac:dyDescent="0.3">
      <c r="B53" s="88" t="s">
        <v>39</v>
      </c>
      <c r="C53" s="89"/>
      <c r="E53" s="12"/>
      <c r="F53" s="12"/>
    </row>
    <row r="54" spans="1:6" ht="28.8" x14ac:dyDescent="0.3">
      <c r="B54" s="5" t="s">
        <v>40</v>
      </c>
      <c r="C54" s="29">
        <v>0</v>
      </c>
      <c r="E54" s="12"/>
      <c r="F54" s="12"/>
    </row>
    <row r="55" spans="1:6" ht="28.8" x14ac:dyDescent="0.3">
      <c r="B55" s="5" t="s">
        <v>41</v>
      </c>
      <c r="C55" s="51">
        <f>C77+C78</f>
        <v>46931.270000000004</v>
      </c>
      <c r="E55" s="25"/>
      <c r="F55" s="25"/>
    </row>
    <row r="56" spans="1:6" x14ac:dyDescent="0.3">
      <c r="B56" s="1" t="s">
        <v>42</v>
      </c>
      <c r="C56" s="51" t="e">
        <f>C44-C45-C54-C55</f>
        <v>#VALUE!</v>
      </c>
    </row>
    <row r="57" spans="1:6" ht="15" thickBot="1" x14ac:dyDescent="0.35">
      <c r="B57" s="2" t="s">
        <v>43</v>
      </c>
      <c r="C57" s="52">
        <f>C45+C54+C55</f>
        <v>42127.218000000008</v>
      </c>
    </row>
    <row r="58" spans="1:6" ht="15" thickBot="1" x14ac:dyDescent="0.35"/>
    <row r="59" spans="1:6" x14ac:dyDescent="0.3">
      <c r="B59" s="88" t="s">
        <v>44</v>
      </c>
      <c r="C59" s="89"/>
    </row>
    <row r="60" spans="1:6" x14ac:dyDescent="0.3">
      <c r="B60" s="9" t="s">
        <v>45</v>
      </c>
      <c r="C60" s="28">
        <f>DATEDIF(C62,C61,"Y")</f>
        <v>8</v>
      </c>
      <c r="E60" s="25"/>
    </row>
    <row r="61" spans="1:6" x14ac:dyDescent="0.3">
      <c r="B61" s="9" t="s">
        <v>46</v>
      </c>
      <c r="C61" s="37">
        <v>44835</v>
      </c>
    </row>
    <row r="62" spans="1:6" x14ac:dyDescent="0.3">
      <c r="B62" s="9" t="s">
        <v>47</v>
      </c>
      <c r="C62" s="37">
        <v>41767</v>
      </c>
      <c r="E62" s="25"/>
      <c r="F62" s="25"/>
    </row>
    <row r="63" spans="1:6" x14ac:dyDescent="0.3">
      <c r="B63" s="9" t="str" cm="1">
        <f t="array" aca="1" ref="B63" ca="1">(OFFSET(Sheet2!$A$57,1,MATCH('Assessment Form'!$C$16,Sheet2!$A$57:$H$57,0)-1,COUNTA(OFFSET(Sheet2!$A$57,1,MATCH('Assessment Form'!$C$16,Sheet2!$A$57:$H$57,0)-1,1,1)),1))</f>
        <v>Financial Stress Score Rating</v>
      </c>
      <c r="C63" s="38" t="s">
        <v>48</v>
      </c>
      <c r="E63" s="25"/>
      <c r="F63" s="25"/>
    </row>
    <row r="64" spans="1:6" hidden="1" x14ac:dyDescent="0.3">
      <c r="B64" s="1" t="s">
        <v>49</v>
      </c>
      <c r="C64" s="18"/>
      <c r="E64" s="91"/>
      <c r="F64" s="24"/>
    </row>
    <row r="65" spans="2:6" ht="45" customHeight="1" x14ac:dyDescent="0.3">
      <c r="B65" s="1" t="s">
        <v>50</v>
      </c>
      <c r="C65" s="39"/>
      <c r="E65" s="91"/>
      <c r="F65" s="24"/>
    </row>
    <row r="66" spans="2:6" hidden="1" x14ac:dyDescent="0.3">
      <c r="B66" s="1" t="s">
        <v>51</v>
      </c>
      <c r="C66" s="18">
        <v>0</v>
      </c>
      <c r="E66" s="25"/>
      <c r="F66" s="25"/>
    </row>
    <row r="67" spans="2:6" hidden="1" x14ac:dyDescent="0.3">
      <c r="B67" s="1" t="s">
        <v>52</v>
      </c>
      <c r="C67" s="18">
        <v>0</v>
      </c>
      <c r="E67" s="25"/>
      <c r="F67" s="25"/>
    </row>
    <row r="68" spans="2:6" x14ac:dyDescent="0.3">
      <c r="B68" s="5" t="s">
        <v>53</v>
      </c>
      <c r="C68" s="31" t="s">
        <v>21</v>
      </c>
      <c r="E68" s="26"/>
      <c r="F68" s="26"/>
    </row>
    <row r="69" spans="2:6" hidden="1" x14ac:dyDescent="0.3">
      <c r="B69" s="5" t="s">
        <v>54</v>
      </c>
      <c r="C69" s="31" t="s">
        <v>55</v>
      </c>
      <c r="E69" s="26"/>
      <c r="F69" s="26"/>
    </row>
    <row r="70" spans="2:6" hidden="1" x14ac:dyDescent="0.3">
      <c r="B70" s="5" t="s">
        <v>56</v>
      </c>
      <c r="C70" s="31">
        <f>IF(AND(ISNUMBER(SEARCH("Significant risk",$C$63)),ISNUMBER(SEARCH("Mobile",$C$69))),2,IF(AND(ISNUMBER(SEARCH("Significant risk",$C$63)),ISNUMBER(SEARCH("Fixed",$C$69))),5,IF(AND(ISNUMBER(SEARCH("Significant risk",$C$63)),ISNUMBER(SEARCH("Usage",$C$69))),8,IF(AND(ISNUMBER(SEARCH("Medium risk",$C$63)),ISNUMBER(SEARCH("Usage",$C$69))),15,IF(AND(ISNUMBER(SEARCH("Medium risk",$C$63)),ISNUMBER(SEARCH("Fixed",$C$69))),9,IF(AND(ISNUMBER(SEARCH("Medium risk",$C$63)),ISNUMBER(SEARCH("Mobile",$C$69))),5,IF(AND(ISNUMBER(SEARCH("Low risk",$C$63)),ISNUMBER(SEARCH("Mobile",$C$69))),7,IF(AND(ISNUMBER(SEARCH("Low risk",$C$63)),ISNUMBER(SEARCH("Fixed",$C$69))),12,IF(AND(ISNUMBER(SEARCH("Low risk",$C$63)),ISNUMBER(SEARCH("Usage",$C$69))),25,IF(AND(ISNUMBER(SEARCH("Minimal risk",$C$63)),ISNUMBER(SEARCH("Mobile",$C$69))),11,IF(AND(ISNUMBER(SEARCH("Minimal risk",$C$63)),ISNUMBER(SEARCH("Fixed",$C$69))),16,IF(AND(ISNUMBER(SEARCH("Minimal risk",$C$63)),ISNUMBER(SEARCH("Usage",$C$69))),35,"Please Select Type of Service"))))))))))))</f>
        <v>35</v>
      </c>
      <c r="E70" s="26"/>
      <c r="F70" s="26"/>
    </row>
    <row r="71" spans="2:6" x14ac:dyDescent="0.3">
      <c r="B71" s="5" t="s">
        <v>57</v>
      </c>
      <c r="C71" s="31" t="s">
        <v>21</v>
      </c>
      <c r="E71" s="26"/>
      <c r="F71" s="26"/>
    </row>
    <row r="72" spans="2:6" hidden="1" x14ac:dyDescent="0.3">
      <c r="B72" s="5" t="s">
        <v>58</v>
      </c>
      <c r="C72" s="31"/>
      <c r="E72" s="26"/>
      <c r="F72" s="26"/>
    </row>
    <row r="73" spans="2:6" x14ac:dyDescent="0.3">
      <c r="B73" s="5" t="s">
        <v>59</v>
      </c>
      <c r="C73" s="31" t="s">
        <v>21</v>
      </c>
      <c r="E73" s="26"/>
      <c r="F73" s="26"/>
    </row>
    <row r="74" spans="2:6" hidden="1" x14ac:dyDescent="0.3">
      <c r="B74" s="5" t="s">
        <v>60</v>
      </c>
      <c r="C74" s="31"/>
      <c r="E74" s="25"/>
      <c r="F74" s="26"/>
    </row>
    <row r="75" spans="2:6" hidden="1" x14ac:dyDescent="0.3">
      <c r="B75" s="5" t="s">
        <v>61</v>
      </c>
      <c r="C75" s="31" t="e">
        <f>C44-C74</f>
        <v>#VALUE!</v>
      </c>
      <c r="E75" s="26"/>
      <c r="F75" s="26"/>
    </row>
    <row r="76" spans="2:6" ht="28.8" x14ac:dyDescent="0.3">
      <c r="B76" s="5" t="s">
        <v>62</v>
      </c>
      <c r="C76" s="31">
        <f>C78+C77</f>
        <v>46931.270000000004</v>
      </c>
      <c r="E76" s="85"/>
      <c r="F76" s="26"/>
    </row>
    <row r="77" spans="2:6" ht="28.8" x14ac:dyDescent="0.3">
      <c r="B77" s="5" t="s">
        <v>63</v>
      </c>
      <c r="C77" s="31">
        <v>0</v>
      </c>
      <c r="E77" s="85"/>
      <c r="F77" s="26"/>
    </row>
    <row r="78" spans="2:6" ht="28.8" x14ac:dyDescent="0.3">
      <c r="B78" s="5" t="s">
        <v>64</v>
      </c>
      <c r="C78" s="31">
        <f>43861*1.07</f>
        <v>46931.270000000004</v>
      </c>
      <c r="E78" s="85"/>
      <c r="F78" s="26"/>
    </row>
    <row r="79" spans="2:6" ht="15.6" x14ac:dyDescent="0.3">
      <c r="B79" s="58" t="s">
        <v>65</v>
      </c>
      <c r="C79" s="59" t="s">
        <v>21</v>
      </c>
      <c r="E79" s="26"/>
      <c r="F79" s="26"/>
    </row>
    <row r="80" spans="2:6" ht="15.6" x14ac:dyDescent="0.3">
      <c r="B80" s="83" t="s">
        <v>66</v>
      </c>
      <c r="C80" s="84"/>
    </row>
    <row r="81" spans="2:6" ht="149.25" customHeight="1" thickBot="1" x14ac:dyDescent="0.35">
      <c r="B81" s="81" t="s">
        <v>119</v>
      </c>
      <c r="C81" s="82"/>
      <c r="D81"/>
      <c r="E81"/>
      <c r="F81"/>
    </row>
    <row r="82" spans="2:6" x14ac:dyDescent="0.3">
      <c r="D82"/>
    </row>
    <row r="83" spans="2:6" x14ac:dyDescent="0.3">
      <c r="D83"/>
    </row>
    <row r="84" spans="2:6" x14ac:dyDescent="0.3">
      <c r="D84"/>
    </row>
    <row r="85" spans="2:6" x14ac:dyDescent="0.3">
      <c r="D85"/>
    </row>
    <row r="86" spans="2:6" x14ac:dyDescent="0.3">
      <c r="D86"/>
    </row>
    <row r="87" spans="2:6" x14ac:dyDescent="0.3">
      <c r="D87"/>
    </row>
  </sheetData>
  <mergeCells count="15">
    <mergeCell ref="B81:C81"/>
    <mergeCell ref="B80:C80"/>
    <mergeCell ref="E76:E78"/>
    <mergeCell ref="B1:C1"/>
    <mergeCell ref="B6:C6"/>
    <mergeCell ref="B9:C9"/>
    <mergeCell ref="B59:C59"/>
    <mergeCell ref="E64:E65"/>
    <mergeCell ref="E49:E51"/>
    <mergeCell ref="E14:E23"/>
    <mergeCell ref="E24:E25"/>
    <mergeCell ref="E10:E12"/>
    <mergeCell ref="B43:C43"/>
    <mergeCell ref="B53:C53"/>
    <mergeCell ref="E45:E47"/>
  </mergeCells>
  <conditionalFormatting sqref="C56">
    <cfRule type="cellIs" dxfId="6" priority="11" operator="lessThan">
      <formula>0</formula>
    </cfRule>
  </conditionalFormatting>
  <conditionalFormatting sqref="C63">
    <cfRule type="containsText" dxfId="5" priority="5" operator="containsText" text="1 - 15 (Significant risk)">
      <formula>NOT(ISERROR(SEARCH("1 - 15 (Significant risk)",C63)))</formula>
    </cfRule>
    <cfRule type="containsText" dxfId="4" priority="6" operator="containsText" text="16 - 50 (Medium risk)">
      <formula>NOT(ISERROR(SEARCH("16 - 50 (Medium risk)",C63)))</formula>
    </cfRule>
    <cfRule type="containsText" dxfId="3" priority="7" operator="containsText" text="51 - 85 (Low risk)">
      <formula>NOT(ISERROR(SEARCH("51 - 85 (Low risk)",C63)))</formula>
    </cfRule>
    <cfRule type="containsText" dxfId="2" priority="8" operator="containsText" text="86 - 100 (Minimal risk)">
      <formula>NOT(ISERROR(SEARCH("86 - 100 (Minimal risk)",C63)))</formula>
    </cfRule>
  </conditionalFormatting>
  <conditionalFormatting sqref="C10">
    <cfRule type="cellIs" dxfId="1" priority="2" operator="equal">
      <formula>"blank"</formula>
    </cfRule>
  </conditionalFormatting>
  <conditionalFormatting sqref="C14">
    <cfRule type="containsBlanks" dxfId="0" priority="12">
      <formula>LEN(TRIM(C14))=0</formula>
    </cfRule>
  </conditionalFormatting>
  <dataValidations xWindow="746" yWindow="555" count="1">
    <dataValidation allowBlank="1" showInputMessage="1" showErrorMessage="1" promptTitle="Message" prompt="If no date is provided from Biz file input NA" sqref="C18:C20" xr:uid="{C20182CD-D7AF-4DE6-B930-0DDB6F02180C}"/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PDF">
                <anchor moveWithCells="1" sizeWithCells="1">
                  <from>
                    <xdr:col>4</xdr:col>
                    <xdr:colOff>137160</xdr:colOff>
                    <xdr:row>37</xdr:row>
                    <xdr:rowOff>38100</xdr:rowOff>
                  </from>
                  <to>
                    <xdr:col>4</xdr:col>
                    <xdr:colOff>3581400</xdr:colOff>
                    <xdr:row>44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7.Billing_Milestone">
                <anchor moveWithCells="1" sizeWithCells="1">
                  <from>
                    <xdr:col>4</xdr:col>
                    <xdr:colOff>137160</xdr:colOff>
                    <xdr:row>22</xdr:row>
                    <xdr:rowOff>160020</xdr:rowOff>
                  </from>
                  <to>
                    <xdr:col>4</xdr:col>
                    <xdr:colOff>3581400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xtractSOA">
                <anchor moveWithCells="1" sizeWithCells="1">
                  <from>
                    <xdr:col>4</xdr:col>
                    <xdr:colOff>137160</xdr:colOff>
                    <xdr:row>45</xdr:row>
                    <xdr:rowOff>45720</xdr:rowOff>
                  </from>
                  <to>
                    <xdr:col>4</xdr:col>
                    <xdr:colOff>3589020</xdr:colOff>
                    <xdr:row>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extractdatafrombizfile">
                <anchor moveWithCells="1" sizeWithCells="1">
                  <from>
                    <xdr:col>4</xdr:col>
                    <xdr:colOff>137160</xdr:colOff>
                    <xdr:row>49</xdr:row>
                    <xdr:rowOff>7620</xdr:rowOff>
                  </from>
                  <to>
                    <xdr:col>4</xdr:col>
                    <xdr:colOff>3581400</xdr:colOff>
                    <xdr:row>52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46" yWindow="555" count="9">
        <x14:dataValidation type="list" allowBlank="1" showInputMessage="1" showErrorMessage="1" xr:uid="{DD6A6EC5-728B-40C1-814B-3BCB8C1243E8}">
          <x14:formula1>
            <xm:f>Sheet2!$A$1:$A$3</xm:f>
          </x14:formula1>
          <xm:sqref>B7</xm:sqref>
        </x14:dataValidation>
        <x14:dataValidation type="list" allowBlank="1" showDropDown="1" showInputMessage="1" showErrorMessage="1" xr:uid="{22546C72-60AC-44DD-9EFD-362A8A51FFF3}">
          <x14:formula1>
            <xm:f>Sheet2!$A$9:$A$19</xm:f>
          </x14:formula1>
          <xm:sqref>B14:B24</xm:sqref>
        </x14:dataValidation>
        <x14:dataValidation type="list" allowBlank="1" showInputMessage="1" showErrorMessage="1" xr:uid="{4EDDBD53-D241-4E18-9737-6AFA7EB012A1}">
          <x14:formula1>
            <xm:f>Sheet2!$B$1:$B$5</xm:f>
          </x14:formula1>
          <xm:sqref>C7</xm:sqref>
        </x14:dataValidation>
        <x14:dataValidation type="list" allowBlank="1" showInputMessage="1" showErrorMessage="1" xr:uid="{0E679537-7846-4FF0-9FA7-95B61F57A8B8}">
          <x14:formula1>
            <xm:f>Sheet2!$B$1:$B$3</xm:f>
          </x14:formula1>
          <xm:sqref>C24 C68 C79 C73 C71</xm:sqref>
        </x14:dataValidation>
        <x14:dataValidation type="list" allowBlank="1" showInputMessage="1" showErrorMessage="1" promptTitle="Message" prompt="Credit Litigation refers to goods, contract or services related._x000a__x000a_On a case to case basis, depending on the business nature. For example an insurance company will have services and contract related litigations which is common and should be exempted." xr:uid="{054B5375-095E-4343-8D98-516F4A770024}">
          <x14:formula1>
            <xm:f>Sheet2!$A$47:$A$50</xm:f>
          </x14:formula1>
          <xm:sqref>C21</xm:sqref>
        </x14:dataValidation>
        <x14:dataValidation type="list" allowBlank="1" showInputMessage="1" showErrorMessage="1" xr:uid="{30F758F2-6555-40A8-8C4B-04493987ADC8}">
          <x14:formula1>
            <xm:f>Sheet2!$A$53:$A$55</xm:f>
          </x14:formula1>
          <xm:sqref>C23</xm:sqref>
        </x14:dataValidation>
        <x14:dataValidation type="list" allowBlank="1" showInputMessage="1" showErrorMessage="1" promptTitle="Message" prompt="No credit lmit to be given to Sole Proprietorship, Partnership - (LP/LLP)_x000a_" xr:uid="{8C69FF8D-6D3C-4F94-A6F4-ECA90995B195}">
          <x14:formula1>
            <xm:f>Sheet2!$A$23:$A$33</xm:f>
          </x14:formula1>
          <xm:sqref>C16</xm:sqref>
        </x14:dataValidation>
        <x14:dataValidation type="list" allowBlank="1" showInputMessage="1" showErrorMessage="1" xr:uid="{AD00671E-750C-4C95-A8FB-FD0109F13887}">
          <x14:formula1>
            <xm:f>Sheet2!$A$61:$A$65</xm:f>
          </x14:formula1>
          <xm:sqref>C63</xm:sqref>
        </x14:dataValidation>
        <x14:dataValidation type="list" allowBlank="1" showInputMessage="1" showErrorMessage="1" xr:uid="{3C23C1DA-99A6-47B9-BC9D-EA3BDFAA75E7}">
          <x14:formula1>
            <xm:f>Sheet2!$A$86:$A$89</xm:f>
          </x14:formula1>
          <xm:sqref>C69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3B2B-DEF5-44A6-9F38-DB0863076AA2}">
  <sheetPr codeName="Sheet7"/>
  <dimension ref="A1:F1065"/>
  <sheetViews>
    <sheetView tabSelected="1" workbookViewId="0">
      <selection activeCell="G15" sqref="G15"/>
    </sheetView>
  </sheetViews>
  <sheetFormatPr defaultColWidth="16" defaultRowHeight="14.4" x14ac:dyDescent="0.3"/>
  <cols>
    <col min="1" max="1" width="24.33203125" bestFit="1" customWidth="1"/>
  </cols>
  <sheetData>
    <row r="1" spans="1:6" x14ac:dyDescent="0.3">
      <c r="A1" s="72" t="s">
        <v>109</v>
      </c>
      <c r="B1" s="73">
        <v>953276.48640000005</v>
      </c>
    </row>
    <row r="2" spans="1:6" x14ac:dyDescent="0.3">
      <c r="A2" s="74" t="s">
        <v>120</v>
      </c>
      <c r="B2" s="75">
        <v>2</v>
      </c>
    </row>
    <row r="3" spans="1:6" x14ac:dyDescent="0.3">
      <c r="A3" s="76" t="s">
        <v>110</v>
      </c>
      <c r="B3" s="77">
        <v>12</v>
      </c>
    </row>
    <row r="4" spans="1:6" x14ac:dyDescent="0.3">
      <c r="A4" s="74" t="s">
        <v>111</v>
      </c>
      <c r="B4" s="78">
        <v>44927</v>
      </c>
    </row>
    <row r="5" spans="1:6" x14ac:dyDescent="0.3">
      <c r="A5" s="53" t="s">
        <v>21</v>
      </c>
      <c r="B5" s="53" t="s">
        <v>112</v>
      </c>
      <c r="C5" s="54" t="s">
        <v>113</v>
      </c>
      <c r="D5" s="55" t="s">
        <v>114</v>
      </c>
      <c r="E5" s="79" t="s">
        <v>115</v>
      </c>
    </row>
    <row r="6" spans="1:6" x14ac:dyDescent="0.3">
      <c r="A6" s="53">
        <v>1</v>
      </c>
      <c r="B6" s="53"/>
      <c r="C6" s="54"/>
      <c r="D6" s="54"/>
      <c r="E6" s="79"/>
    </row>
    <row r="7" spans="1:6" x14ac:dyDescent="0.3">
      <c r="A7" s="53">
        <v>2</v>
      </c>
      <c r="B7" s="53"/>
      <c r="C7" s="54"/>
      <c r="D7" s="54"/>
      <c r="E7" s="79"/>
    </row>
    <row r="8" spans="1:6" x14ac:dyDescent="0.3">
      <c r="A8" s="53"/>
      <c r="B8" s="53"/>
      <c r="C8" s="54"/>
      <c r="D8" s="54"/>
      <c r="E8" s="79"/>
    </row>
    <row r="9" spans="1:6" x14ac:dyDescent="0.3">
      <c r="A9" s="80" t="s">
        <v>116</v>
      </c>
      <c r="B9" s="55" t="s">
        <v>67</v>
      </c>
      <c r="C9" s="54" t="s">
        <v>68</v>
      </c>
      <c r="D9" s="57" t="s">
        <v>69</v>
      </c>
      <c r="E9" s="53" t="s">
        <v>70</v>
      </c>
      <c r="F9" t="s">
        <v>128</v>
      </c>
    </row>
    <row r="10" spans="1:6" x14ac:dyDescent="0.3">
      <c r="A10" s="95">
        <v>44957</v>
      </c>
    </row>
    <row r="11" spans="1:6" x14ac:dyDescent="0.3">
      <c r="A11" s="95">
        <v>44985</v>
      </c>
    </row>
    <row r="12" spans="1:6" x14ac:dyDescent="0.3">
      <c r="A12" s="95">
        <v>45016</v>
      </c>
    </row>
    <row r="13" spans="1:6" x14ac:dyDescent="0.3">
      <c r="A13" s="95">
        <v>45046</v>
      </c>
    </row>
    <row r="14" spans="1:6" x14ac:dyDescent="0.3">
      <c r="A14" s="95">
        <v>45077</v>
      </c>
    </row>
    <row r="15" spans="1:6" x14ac:dyDescent="0.3">
      <c r="A15" s="95">
        <v>45107</v>
      </c>
    </row>
    <row r="16" spans="1:6" x14ac:dyDescent="0.3">
      <c r="A16" s="95">
        <v>45138</v>
      </c>
    </row>
    <row r="17" spans="1:1" x14ac:dyDescent="0.3">
      <c r="A17" s="95">
        <v>45169</v>
      </c>
    </row>
    <row r="18" spans="1:1" x14ac:dyDescent="0.3">
      <c r="A18" s="95">
        <v>45199</v>
      </c>
    </row>
    <row r="19" spans="1:1" x14ac:dyDescent="0.3">
      <c r="A19" s="95">
        <v>45230</v>
      </c>
    </row>
    <row r="20" spans="1:1" x14ac:dyDescent="0.3">
      <c r="A20" s="95">
        <v>45260</v>
      </c>
    </row>
    <row r="21" spans="1:1" x14ac:dyDescent="0.3">
      <c r="A21" s="95">
        <v>45291</v>
      </c>
    </row>
    <row r="1054" spans="4:4" x14ac:dyDescent="0.3">
      <c r="D1054">
        <f t="shared" ref="D1054:D1065" si="0">B1054-C1054</f>
        <v>0</v>
      </c>
    </row>
    <row r="1055" spans="4:4" x14ac:dyDescent="0.3">
      <c r="D1055">
        <f t="shared" si="0"/>
        <v>0</v>
      </c>
    </row>
    <row r="1056" spans="4:4" x14ac:dyDescent="0.3">
      <c r="D1056">
        <f t="shared" si="0"/>
        <v>0</v>
      </c>
    </row>
    <row r="1057" spans="4:4" x14ac:dyDescent="0.3">
      <c r="D1057">
        <f t="shared" si="0"/>
        <v>0</v>
      </c>
    </row>
    <row r="1058" spans="4:4" x14ac:dyDescent="0.3">
      <c r="D1058">
        <f t="shared" si="0"/>
        <v>0</v>
      </c>
    </row>
    <row r="1059" spans="4:4" x14ac:dyDescent="0.3">
      <c r="D1059">
        <f t="shared" si="0"/>
        <v>0</v>
      </c>
    </row>
    <row r="1060" spans="4:4" x14ac:dyDescent="0.3">
      <c r="D1060">
        <f t="shared" si="0"/>
        <v>0</v>
      </c>
    </row>
    <row r="1061" spans="4:4" x14ac:dyDescent="0.3">
      <c r="D1061">
        <f t="shared" si="0"/>
        <v>0</v>
      </c>
    </row>
    <row r="1062" spans="4:4" x14ac:dyDescent="0.3">
      <c r="D1062">
        <f t="shared" si="0"/>
        <v>0</v>
      </c>
    </row>
    <row r="1063" spans="4:4" x14ac:dyDescent="0.3">
      <c r="D1063">
        <f t="shared" si="0"/>
        <v>0</v>
      </c>
    </row>
    <row r="1064" spans="4:4" x14ac:dyDescent="0.3">
      <c r="D1064">
        <f t="shared" si="0"/>
        <v>0</v>
      </c>
    </row>
    <row r="1065" spans="4:4" x14ac:dyDescent="0.3">
      <c r="D1065">
        <f t="shared" si="0"/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insertvendor">
                <anchor moveWithCells="1" sizeWithCells="1">
                  <from>
                    <xdr:col>2</xdr:col>
                    <xdr:colOff>22860</xdr:colOff>
                    <xdr:row>0</xdr:row>
                    <xdr:rowOff>30480</xdr:rowOff>
                  </from>
                  <to>
                    <xdr:col>4</xdr:col>
                    <xdr:colOff>678180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vendor">
                <anchor moveWithCells="1" sizeWithCells="1">
                  <from>
                    <xdr:col>4</xdr:col>
                    <xdr:colOff>678180</xdr:colOff>
                    <xdr:row>0</xdr:row>
                    <xdr:rowOff>7620</xdr:rowOff>
                  </from>
                  <to>
                    <xdr:col>7</xdr:col>
                    <xdr:colOff>121920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alculateReceiptsPayments">
                <anchor moveWithCells="1" sizeWithCells="1">
                  <from>
                    <xdr:col>7</xdr:col>
                    <xdr:colOff>137160</xdr:colOff>
                    <xdr:row>0</xdr:row>
                    <xdr:rowOff>0</xdr:rowOff>
                  </from>
                  <to>
                    <xdr:col>9</xdr:col>
                    <xdr:colOff>647700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4B6D7-D4D7-4A81-AD84-B209F00EEFB8}">
  <sheetPr codeName="Sheet2"/>
  <dimension ref="C1"/>
  <sheetViews>
    <sheetView topLeftCell="A10" workbookViewId="0">
      <selection activeCell="P22" sqref="P22"/>
    </sheetView>
  </sheetViews>
  <sheetFormatPr defaultRowHeight="14.4" x14ac:dyDescent="0.3"/>
  <cols>
    <col min="3" max="3" width="9.109375" style="8"/>
  </cols>
  <sheetData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3178C-1DDA-4E76-9D05-4B463BD0F978}">
  <sheetPr codeName="Sheet3"/>
  <dimension ref="A1:H89"/>
  <sheetViews>
    <sheetView topLeftCell="A82" zoomScale="85" zoomScaleNormal="85" workbookViewId="0">
      <selection activeCell="F6" sqref="F6"/>
    </sheetView>
  </sheetViews>
  <sheetFormatPr defaultRowHeight="14.4" x14ac:dyDescent="0.3"/>
  <cols>
    <col min="1" max="1" width="69" bestFit="1" customWidth="1"/>
    <col min="2" max="2" width="63.6640625" bestFit="1" customWidth="1"/>
    <col min="3" max="4" width="69" bestFit="1" customWidth="1"/>
    <col min="5" max="5" width="46.5546875" bestFit="1" customWidth="1"/>
    <col min="6" max="6" width="55.6640625" bestFit="1" customWidth="1"/>
    <col min="7" max="9" width="28.109375" bestFit="1" customWidth="1"/>
  </cols>
  <sheetData>
    <row r="1" spans="1:5" x14ac:dyDescent="0.3">
      <c r="A1" t="s">
        <v>13</v>
      </c>
      <c r="B1" t="s">
        <v>71</v>
      </c>
    </row>
    <row r="2" spans="1:5" x14ac:dyDescent="0.3">
      <c r="A2" t="s">
        <v>18</v>
      </c>
      <c r="B2" t="s">
        <v>14</v>
      </c>
    </row>
    <row r="3" spans="1:5" x14ac:dyDescent="0.3">
      <c r="A3" t="s">
        <v>19</v>
      </c>
      <c r="B3" t="s">
        <v>21</v>
      </c>
    </row>
    <row r="4" spans="1:5" x14ac:dyDescent="0.3">
      <c r="B4" t="s">
        <v>72</v>
      </c>
    </row>
    <row r="5" spans="1:5" x14ac:dyDescent="0.3">
      <c r="B5" t="s">
        <v>73</v>
      </c>
    </row>
    <row r="8" spans="1:5" x14ac:dyDescent="0.3">
      <c r="A8" t="s">
        <v>21</v>
      </c>
      <c r="B8" t="s">
        <v>14</v>
      </c>
      <c r="C8" t="s">
        <v>72</v>
      </c>
      <c r="D8" t="s">
        <v>73</v>
      </c>
      <c r="E8" t="s">
        <v>71</v>
      </c>
    </row>
    <row r="9" spans="1:5" x14ac:dyDescent="0.3">
      <c r="A9" t="s">
        <v>74</v>
      </c>
      <c r="B9" t="s">
        <v>74</v>
      </c>
      <c r="C9" t="s">
        <v>74</v>
      </c>
      <c r="D9" t="s">
        <v>74</v>
      </c>
      <c r="E9" t="s">
        <v>74</v>
      </c>
    </row>
    <row r="10" spans="1:5" x14ac:dyDescent="0.3">
      <c r="A10" t="s">
        <v>75</v>
      </c>
      <c r="B10" t="s">
        <v>75</v>
      </c>
      <c r="C10" t="s">
        <v>75</v>
      </c>
      <c r="D10" t="s">
        <v>75</v>
      </c>
      <c r="E10" t="s">
        <v>75</v>
      </c>
    </row>
    <row r="11" spans="1:5" x14ac:dyDescent="0.3">
      <c r="A11" t="s">
        <v>76</v>
      </c>
      <c r="B11" t="s">
        <v>76</v>
      </c>
      <c r="C11" t="s">
        <v>76</v>
      </c>
      <c r="D11" t="s">
        <v>76</v>
      </c>
      <c r="E11" t="s">
        <v>76</v>
      </c>
    </row>
    <row r="12" spans="1:5" x14ac:dyDescent="0.3">
      <c r="A12" t="s">
        <v>77</v>
      </c>
      <c r="B12" t="s">
        <v>77</v>
      </c>
      <c r="C12" t="s">
        <v>77</v>
      </c>
      <c r="D12" t="s">
        <v>77</v>
      </c>
      <c r="E12" t="s">
        <v>77</v>
      </c>
    </row>
    <row r="13" spans="1:5" x14ac:dyDescent="0.3">
      <c r="A13" t="s">
        <v>78</v>
      </c>
      <c r="B13" t="s">
        <v>78</v>
      </c>
      <c r="C13" t="s">
        <v>78</v>
      </c>
      <c r="D13" t="s">
        <v>78</v>
      </c>
      <c r="E13" t="s">
        <v>78</v>
      </c>
    </row>
    <row r="14" spans="1:5" x14ac:dyDescent="0.3">
      <c r="A14" t="s">
        <v>79</v>
      </c>
      <c r="B14" t="s">
        <v>79</v>
      </c>
      <c r="C14" t="s">
        <v>79</v>
      </c>
      <c r="D14" t="s">
        <v>79</v>
      </c>
      <c r="E14" t="s">
        <v>79</v>
      </c>
    </row>
    <row r="15" spans="1:5" x14ac:dyDescent="0.3">
      <c r="A15" t="s">
        <v>80</v>
      </c>
      <c r="B15" t="s">
        <v>80</v>
      </c>
      <c r="C15" t="s">
        <v>80</v>
      </c>
      <c r="D15" t="s">
        <v>80</v>
      </c>
      <c r="E15" t="s">
        <v>80</v>
      </c>
    </row>
    <row r="16" spans="1:5" x14ac:dyDescent="0.3">
      <c r="A16" t="s">
        <v>81</v>
      </c>
      <c r="B16" t="s">
        <v>81</v>
      </c>
      <c r="C16" t="s">
        <v>81</v>
      </c>
      <c r="D16" t="s">
        <v>81</v>
      </c>
      <c r="E16" t="s">
        <v>81</v>
      </c>
    </row>
    <row r="17" spans="1:5" x14ac:dyDescent="0.3">
      <c r="A17" t="s">
        <v>82</v>
      </c>
      <c r="B17" t="s">
        <v>82</v>
      </c>
      <c r="C17" t="s">
        <v>82</v>
      </c>
      <c r="D17" t="s">
        <v>82</v>
      </c>
      <c r="E17" t="s">
        <v>82</v>
      </c>
    </row>
    <row r="18" spans="1:5" x14ac:dyDescent="0.3">
      <c r="A18" t="s">
        <v>83</v>
      </c>
      <c r="B18" t="s">
        <v>83</v>
      </c>
      <c r="C18" t="s">
        <v>83</v>
      </c>
      <c r="D18" t="s">
        <v>83</v>
      </c>
      <c r="E18" t="s">
        <v>83</v>
      </c>
    </row>
    <row r="19" spans="1:5" x14ac:dyDescent="0.3">
      <c r="A19" t="s">
        <v>84</v>
      </c>
      <c r="B19" t="s">
        <v>84</v>
      </c>
      <c r="C19" t="s">
        <v>84</v>
      </c>
      <c r="D19" t="s">
        <v>84</v>
      </c>
      <c r="E19" t="s">
        <v>84</v>
      </c>
    </row>
    <row r="23" spans="1:5" x14ac:dyDescent="0.3">
      <c r="A23" t="s">
        <v>71</v>
      </c>
    </row>
    <row r="24" spans="1:5" x14ac:dyDescent="0.3">
      <c r="A24" t="s">
        <v>85</v>
      </c>
    </row>
    <row r="25" spans="1:5" x14ac:dyDescent="0.3">
      <c r="A25" t="s">
        <v>86</v>
      </c>
    </row>
    <row r="26" spans="1:5" x14ac:dyDescent="0.3">
      <c r="A26" t="s">
        <v>87</v>
      </c>
    </row>
    <row r="27" spans="1:5" x14ac:dyDescent="0.3">
      <c r="A27" t="s">
        <v>88</v>
      </c>
    </row>
    <row r="28" spans="1:5" x14ac:dyDescent="0.3">
      <c r="A28" t="s">
        <v>89</v>
      </c>
    </row>
    <row r="29" spans="1:5" x14ac:dyDescent="0.3">
      <c r="A29" t="s">
        <v>90</v>
      </c>
    </row>
    <row r="30" spans="1:5" x14ac:dyDescent="0.3">
      <c r="A30" t="s">
        <v>91</v>
      </c>
    </row>
    <row r="31" spans="1:5" x14ac:dyDescent="0.3">
      <c r="A31" t="s">
        <v>92</v>
      </c>
    </row>
    <row r="32" spans="1:5" x14ac:dyDescent="0.3">
      <c r="A32" t="s">
        <v>93</v>
      </c>
    </row>
    <row r="33" spans="1:3" x14ac:dyDescent="0.3">
      <c r="A33" t="s">
        <v>20</v>
      </c>
    </row>
    <row r="36" spans="1:3" x14ac:dyDescent="0.3">
      <c r="A36" t="s">
        <v>13</v>
      </c>
      <c r="B36" t="s">
        <v>18</v>
      </c>
      <c r="C36" t="s">
        <v>19</v>
      </c>
    </row>
    <row r="37" spans="1:3" x14ac:dyDescent="0.3">
      <c r="A37" t="s">
        <v>94</v>
      </c>
      <c r="B37" t="s">
        <v>95</v>
      </c>
      <c r="C37" t="s">
        <v>96</v>
      </c>
    </row>
    <row r="38" spans="1:3" x14ac:dyDescent="0.3">
      <c r="A38" t="s">
        <v>97</v>
      </c>
      <c r="B38" t="s">
        <v>98</v>
      </c>
      <c r="C38" t="s">
        <v>99</v>
      </c>
    </row>
    <row r="39" spans="1:3" x14ac:dyDescent="0.3">
      <c r="A39" t="s">
        <v>37</v>
      </c>
      <c r="B39" t="s">
        <v>37</v>
      </c>
      <c r="C39" t="s">
        <v>37</v>
      </c>
    </row>
    <row r="40" spans="1:3" x14ac:dyDescent="0.3">
      <c r="A40" t="s">
        <v>38</v>
      </c>
      <c r="B40" t="s">
        <v>38</v>
      </c>
      <c r="C40" t="s">
        <v>38</v>
      </c>
    </row>
    <row r="43" spans="1:3" x14ac:dyDescent="0.3">
      <c r="A43" t="s">
        <v>14</v>
      </c>
    </row>
    <row r="44" spans="1:3" x14ac:dyDescent="0.3">
      <c r="A44" t="s">
        <v>100</v>
      </c>
    </row>
    <row r="46" spans="1:3" x14ac:dyDescent="0.3">
      <c r="A46" t="s">
        <v>81</v>
      </c>
    </row>
    <row r="47" spans="1:3" x14ac:dyDescent="0.3">
      <c r="A47" t="s">
        <v>71</v>
      </c>
    </row>
    <row r="48" spans="1:3" x14ac:dyDescent="0.3">
      <c r="A48" s="8">
        <v>0</v>
      </c>
    </row>
    <row r="49" spans="1:8" x14ac:dyDescent="0.3">
      <c r="A49" s="8">
        <v>1</v>
      </c>
    </row>
    <row r="50" spans="1:8" x14ac:dyDescent="0.3">
      <c r="A50" s="8" t="s">
        <v>101</v>
      </c>
    </row>
    <row r="52" spans="1:8" x14ac:dyDescent="0.3">
      <c r="A52" t="s">
        <v>83</v>
      </c>
    </row>
    <row r="53" spans="1:8" x14ac:dyDescent="0.3">
      <c r="A53" t="s">
        <v>71</v>
      </c>
    </row>
    <row r="54" spans="1:8" x14ac:dyDescent="0.3">
      <c r="A54" s="8">
        <v>0</v>
      </c>
    </row>
    <row r="55" spans="1:8" x14ac:dyDescent="0.3">
      <c r="A55" s="8" t="s">
        <v>102</v>
      </c>
    </row>
    <row r="57" spans="1:8" x14ac:dyDescent="0.3">
      <c r="A57" t="s">
        <v>85</v>
      </c>
      <c r="B57" t="s">
        <v>86</v>
      </c>
      <c r="C57" t="s">
        <v>87</v>
      </c>
      <c r="D57" t="s">
        <v>89</v>
      </c>
      <c r="E57" t="s">
        <v>90</v>
      </c>
      <c r="F57" t="s">
        <v>91</v>
      </c>
      <c r="G57" t="s">
        <v>92</v>
      </c>
      <c r="H57" t="s">
        <v>93</v>
      </c>
    </row>
    <row r="58" spans="1:8" x14ac:dyDescent="0.3">
      <c r="A58" t="s">
        <v>103</v>
      </c>
      <c r="B58" t="s">
        <v>103</v>
      </c>
      <c r="C58" t="s">
        <v>103</v>
      </c>
      <c r="D58" t="s">
        <v>103</v>
      </c>
      <c r="E58" t="s">
        <v>103</v>
      </c>
      <c r="F58" t="s">
        <v>103</v>
      </c>
      <c r="G58" t="s">
        <v>103</v>
      </c>
      <c r="H58" t="s">
        <v>103</v>
      </c>
    </row>
    <row r="60" spans="1:8" x14ac:dyDescent="0.3">
      <c r="A60" s="9" t="str" cm="1">
        <f t="array" aca="1" ref="A60" ca="1">(OFFSET(Sheet2!$A$57,1,MATCH('Assessment Form'!$C$16,Sheet2!$A$57:$E$57,0)-1,COUNTA(OFFSET(Sheet2!$A$57,1,MATCH('Assessment Form'!$C$16,Sheet2!$A$57:$E$57,0)-1,1,1)),1))</f>
        <v>Financial Stress Score Rating</v>
      </c>
    </row>
    <row r="61" spans="1:8" x14ac:dyDescent="0.3">
      <c r="A61" s="17" t="s">
        <v>71</v>
      </c>
    </row>
    <row r="62" spans="1:8" x14ac:dyDescent="0.3">
      <c r="A62" s="14" t="s">
        <v>48</v>
      </c>
    </row>
    <row r="63" spans="1:8" x14ac:dyDescent="0.3">
      <c r="A63" s="14" t="s">
        <v>104</v>
      </c>
    </row>
    <row r="64" spans="1:8" x14ac:dyDescent="0.3">
      <c r="A64" s="15" t="s">
        <v>105</v>
      </c>
    </row>
    <row r="65" spans="1:1" x14ac:dyDescent="0.3">
      <c r="A65" s="16" t="s">
        <v>106</v>
      </c>
    </row>
    <row r="86" spans="1:1" x14ac:dyDescent="0.3">
      <c r="A86" t="s">
        <v>71</v>
      </c>
    </row>
    <row r="87" spans="1:1" x14ac:dyDescent="0.3">
      <c r="A87" t="s">
        <v>107</v>
      </c>
    </row>
    <row r="88" spans="1:1" x14ac:dyDescent="0.3">
      <c r="A88" t="s">
        <v>108</v>
      </c>
    </row>
    <row r="89" spans="1:1" x14ac:dyDescent="0.3">
      <c r="A89" t="s">
        <v>55</v>
      </c>
    </row>
  </sheetData>
  <dataValidations count="1">
    <dataValidation type="list" allowBlank="1" showDropDown="1" showInputMessage="1" showErrorMessage="1" sqref="A52" xr:uid="{5609D1E1-3C0C-4C98-B6E1-975D8BF876AF}">
      <formula1>$A$9:$A$19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Assessment Form</vt:lpstr>
      <vt:lpstr>Billing Milestone</vt:lpstr>
      <vt:lpstr>Sample blacklisted account</vt:lpstr>
      <vt:lpstr>Sheet2</vt:lpstr>
      <vt:lpstr>File_Path</vt:lpstr>
      <vt:lpstr>'Assessment Form'!Print_Area</vt:lpstr>
      <vt:lpstr>'Billing Milestone'!Print_Area</vt:lpstr>
      <vt:lpstr>SOAPath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Harold QUEK He Re</dc:creator>
  <cp:keywords/>
  <dc:description/>
  <cp:lastModifiedBy>Harold</cp:lastModifiedBy>
  <cp:revision/>
  <cp:lastPrinted>2023-01-12T13:32:50Z</cp:lastPrinted>
  <dcterms:created xsi:type="dcterms:W3CDTF">2021-10-15T13:11:10Z</dcterms:created>
  <dcterms:modified xsi:type="dcterms:W3CDTF">2023-01-12T13:50:24Z</dcterms:modified>
  <cp:category/>
  <cp:contentStatus/>
</cp:coreProperties>
</file>